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545" windowHeight="7620" activeTab="1"/>
  </bookViews>
  <sheets>
    <sheet name="ACABADO" sheetId="1" r:id="rId1"/>
    <sheet name="CORTE" sheetId="3" r:id="rId2"/>
    <sheet name="TICKET_RETIRADAS" sheetId="2" r:id="rId3"/>
  </sheets>
  <definedNames>
    <definedName name="_xlnm._FilterDatabase" localSheetId="0">ACABADO!$A$1:$J$138</definedName>
    <definedName name="_xlnm._FilterDatabase" localSheetId="1">CORTE!$A$1:$I$139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<sst xmlns="http://schemas.openxmlformats.org/spreadsheetml/2006/main" count="1099" uniqueCount="781">
  <si>
    <t>ESTOQUE ACABADO</t>
  </si>
  <si>
    <t>data:</t>
  </si>
  <si>
    <t>03/07/025</t>
  </si>
  <si>
    <t xml:space="preserve">CÓDIGO </t>
  </si>
  <si>
    <t>INFANTIL MENINOS</t>
  </si>
  <si>
    <t>U</t>
  </si>
  <si>
    <t>PP</t>
  </si>
  <si>
    <t>P</t>
  </si>
  <si>
    <t>M</t>
  </si>
  <si>
    <t>G</t>
  </si>
  <si>
    <t>GG</t>
  </si>
  <si>
    <t>estoq. Min</t>
  </si>
  <si>
    <t>total:</t>
  </si>
  <si>
    <t xml:space="preserve"> ED0291 </t>
  </si>
  <si>
    <t>Top Metalizado Sortidos Curto</t>
  </si>
  <si>
    <t xml:space="preserve"> ED0362</t>
  </si>
  <si>
    <t xml:space="preserve">Super Policial                                              </t>
  </si>
  <si>
    <t>ED0006</t>
  </si>
  <si>
    <t xml:space="preserve">Princesa da Floresta Luxo </t>
  </si>
  <si>
    <t>ED0007</t>
  </si>
  <si>
    <t xml:space="preserve">Butterfly Princess Blue Luxo </t>
  </si>
  <si>
    <t>ED0009</t>
  </si>
  <si>
    <t>Super Herói Aracman c/Máscara</t>
  </si>
  <si>
    <t>ED0016</t>
  </si>
  <si>
    <t>Super Herói Aracman Longo c/Máscara</t>
  </si>
  <si>
    <t>ED0018</t>
  </si>
  <si>
    <t xml:space="preserve">La Belle Princess  </t>
  </si>
  <si>
    <t>ED0021</t>
  </si>
  <si>
    <t>Joaninha Verão (short e camiseta)</t>
  </si>
  <si>
    <t>ED0022</t>
  </si>
  <si>
    <t>Joaninha Vestido (vestido com cinto)</t>
  </si>
  <si>
    <t>ED0024</t>
  </si>
  <si>
    <t>Princesa Maori</t>
  </si>
  <si>
    <t>ED0025</t>
  </si>
  <si>
    <t>Princesa Safira</t>
  </si>
  <si>
    <t>ED0026</t>
  </si>
  <si>
    <t>Aladin</t>
  </si>
  <si>
    <t>ED0028</t>
  </si>
  <si>
    <t xml:space="preserve">Jardineira Dona Ratinha </t>
  </si>
  <si>
    <t>ED0029</t>
  </si>
  <si>
    <t>ED0030</t>
  </si>
  <si>
    <t xml:space="preserve">Ice Princess Luxo </t>
  </si>
  <si>
    <t>ED0032</t>
  </si>
  <si>
    <t>Capa Princesa + Máscara (Pink/Rosa)</t>
  </si>
  <si>
    <t>ED0034</t>
  </si>
  <si>
    <t>Ice Princess Bailarina</t>
  </si>
  <si>
    <t>ED0038</t>
  </si>
  <si>
    <t xml:space="preserve"> Pirata Mapa Tesouro                                     </t>
  </si>
  <si>
    <t>ED0038BL</t>
  </si>
  <si>
    <t xml:space="preserve"> Pirata Mapa Tesouro   so a blusa                                  </t>
  </si>
  <si>
    <t>ED0044</t>
  </si>
  <si>
    <t xml:space="preserve">Palhaça Charmosa + Gravata </t>
  </si>
  <si>
    <t>ED0045</t>
  </si>
  <si>
    <t>Kit Palhaço  ( Colete + Gravata )  ESTAMPAS  SORTIDAS</t>
  </si>
  <si>
    <t>ED0047</t>
  </si>
  <si>
    <t xml:space="preserve">Palhaço Suspensório (Estampas Sortidas) </t>
  </si>
  <si>
    <t>ED0049</t>
  </si>
  <si>
    <t>Pirata Bucaneira</t>
  </si>
  <si>
    <t>ED0050</t>
  </si>
  <si>
    <t xml:space="preserve">Pirata Bucaneiro  </t>
  </si>
  <si>
    <t>ED0051</t>
  </si>
  <si>
    <t xml:space="preserve">Abelhinha Bee Bee </t>
  </si>
  <si>
    <t>ED0055</t>
  </si>
  <si>
    <t xml:space="preserve">Juju Aninha </t>
  </si>
  <si>
    <t>ED0056</t>
  </si>
  <si>
    <t>Mister Bug</t>
  </si>
  <si>
    <t>ED0057</t>
  </si>
  <si>
    <t>Dom Ratinho</t>
  </si>
  <si>
    <t>ED0058</t>
  </si>
  <si>
    <t xml:space="preserve">Menino das Cavernas </t>
  </si>
  <si>
    <t>ED0060</t>
  </si>
  <si>
    <t xml:space="preserve">Prisioneiro Infantil </t>
  </si>
  <si>
    <t>ED0061</t>
  </si>
  <si>
    <t>Mulher das Cavernas</t>
  </si>
  <si>
    <t>ED0062</t>
  </si>
  <si>
    <t>Menina das Cavernas</t>
  </si>
  <si>
    <t>ED0063</t>
  </si>
  <si>
    <t>Fada Sininho - Verde</t>
  </si>
  <si>
    <t>ED0064</t>
  </si>
  <si>
    <t>Kit Star Girl Infantil</t>
  </si>
  <si>
    <t>ED0065</t>
  </si>
  <si>
    <t>Kit Star Woman Adulto</t>
  </si>
  <si>
    <t>ED0067</t>
  </si>
  <si>
    <t xml:space="preserve">Princesa Rapunzel                                           </t>
  </si>
  <si>
    <t>ED0068</t>
  </si>
  <si>
    <t>Kit Tutu Abelha Rainha (tutu+Antena)</t>
  </si>
  <si>
    <t>ED0070</t>
  </si>
  <si>
    <t>ED0074</t>
  </si>
  <si>
    <t xml:space="preserve">Prisioneiro Adulto </t>
  </si>
  <si>
    <t>ED0075</t>
  </si>
  <si>
    <t>Kit Tutu Lady Joaninha (tutu+Antena)</t>
  </si>
  <si>
    <t>ED0076</t>
  </si>
  <si>
    <t xml:space="preserve">Gravata Palhaço Borboleta </t>
  </si>
  <si>
    <t>ED0077</t>
  </si>
  <si>
    <t xml:space="preserve">Gorro Pirata </t>
  </si>
  <si>
    <t>ED0078</t>
  </si>
  <si>
    <t>Frida (Alemã)</t>
  </si>
  <si>
    <t>ED0079</t>
  </si>
  <si>
    <t>Alemãozinho Fritz- (Bermuda + Camisa)</t>
  </si>
  <si>
    <t>ED0080</t>
  </si>
  <si>
    <t xml:space="preserve">Palhacinha </t>
  </si>
  <si>
    <t>ED0081</t>
  </si>
  <si>
    <t xml:space="preserve">Pirata Bucaneiro com Bermuda </t>
  </si>
  <si>
    <t>ED0082</t>
  </si>
  <si>
    <t xml:space="preserve">Pirata Bucaneira com Saia </t>
  </si>
  <si>
    <t>ED0085</t>
  </si>
  <si>
    <t xml:space="preserve">Coroa de Flores </t>
  </si>
  <si>
    <t>ED0086</t>
  </si>
  <si>
    <t>Blue Princess (Cinderela)</t>
  </si>
  <si>
    <t>ED0087</t>
  </si>
  <si>
    <t>Yellow Princess</t>
  </si>
  <si>
    <t>ED0088</t>
  </si>
  <si>
    <t xml:space="preserve">Pink Princess </t>
  </si>
  <si>
    <t>ED0089</t>
  </si>
  <si>
    <t>Ice Princess</t>
  </si>
  <si>
    <t>ED0090</t>
  </si>
  <si>
    <t xml:space="preserve">Super Herói Steel Man </t>
  </si>
  <si>
    <t>ED0091</t>
  </si>
  <si>
    <t xml:space="preserve">Super Herói Green Man </t>
  </si>
  <si>
    <t>ED0092</t>
  </si>
  <si>
    <t xml:space="preserve">Super Herói Thunder Man </t>
  </si>
  <si>
    <t>ED0093</t>
  </si>
  <si>
    <t xml:space="preserve">Alice </t>
  </si>
  <si>
    <t>ED0094</t>
  </si>
  <si>
    <t>Tutu  Alice</t>
  </si>
  <si>
    <t>ED0095</t>
  </si>
  <si>
    <t xml:space="preserve">Rainha de Copas </t>
  </si>
  <si>
    <t>ED0096</t>
  </si>
  <si>
    <t>Super Herói Arac Man Longo c/Capuz</t>
  </si>
  <si>
    <t>ED0097</t>
  </si>
  <si>
    <t>Super Herói Arac Man Curto c/Capuz</t>
  </si>
  <si>
    <t>ED0098</t>
  </si>
  <si>
    <t xml:space="preserve">Indio Apache </t>
  </si>
  <si>
    <t>ED0099</t>
  </si>
  <si>
    <t xml:space="preserve">India Apache </t>
  </si>
  <si>
    <t>ED0100</t>
  </si>
  <si>
    <t xml:space="preserve">Chapéuzinho Vermelho </t>
  </si>
  <si>
    <t>ED0102</t>
  </si>
  <si>
    <t xml:space="preserve">Dark Quenn </t>
  </si>
  <si>
    <t>ED0103</t>
  </si>
  <si>
    <t>Sereia Serena (Verde/Azul/Rosa)</t>
  </si>
  <si>
    <t>ED0104</t>
  </si>
  <si>
    <t xml:space="preserve">Cigana </t>
  </si>
  <si>
    <t>ED0106</t>
  </si>
  <si>
    <t>Palhaço Arrelia</t>
  </si>
  <si>
    <t>ED0107</t>
  </si>
  <si>
    <t xml:space="preserve">Pierro Adulto </t>
  </si>
  <si>
    <t>ED0110</t>
  </si>
  <si>
    <t>India Apache (Falta Acess.)</t>
  </si>
  <si>
    <t>ED0111</t>
  </si>
  <si>
    <t>ED0120</t>
  </si>
  <si>
    <t xml:space="preserve">Boina Palhaço </t>
  </si>
  <si>
    <t>ED0121</t>
  </si>
  <si>
    <t xml:space="preserve">Gravatão Palhaço </t>
  </si>
  <si>
    <t>ED0123</t>
  </si>
  <si>
    <t>Kit Princesa (Faixa + Tiara)</t>
  </si>
  <si>
    <t xml:space="preserve">ED0131 </t>
  </si>
  <si>
    <t>La Casa de Papel Masculino (Macacão + Máscara)</t>
  </si>
  <si>
    <t>ED0133</t>
  </si>
  <si>
    <t>Lilac Princess (Sofia)</t>
  </si>
  <si>
    <t>ED0135</t>
  </si>
  <si>
    <t>ED0136</t>
  </si>
  <si>
    <t xml:space="preserve"> Princesa da Floresta Luxo </t>
  </si>
  <si>
    <t>ED0138</t>
  </si>
  <si>
    <t xml:space="preserve"> Butterfly Princess Blue Luxo </t>
  </si>
  <si>
    <t>ED0140</t>
  </si>
  <si>
    <t>ED0142</t>
  </si>
  <si>
    <t>La Casa de Papel - Infantil c/ Máscara</t>
  </si>
  <si>
    <t>ED0150</t>
  </si>
  <si>
    <t>Kit Pirata Caveira c/ Faixa e Gorro</t>
  </si>
  <si>
    <t>ED0153</t>
  </si>
  <si>
    <t xml:space="preserve">Kit Naipes c/ Tiara e Braçadeiras </t>
  </si>
  <si>
    <t>ED0155</t>
  </si>
  <si>
    <t>Saia Caribe</t>
  </si>
  <si>
    <t>ED0157</t>
  </si>
  <si>
    <t>Top Helanca Manga Curta (Vermelho)</t>
  </si>
  <si>
    <t>Top Helanca Manga Curta (Preto)</t>
  </si>
  <si>
    <t>Top Helanca Manga Curta (Branco)</t>
  </si>
  <si>
    <t>ED0158</t>
  </si>
  <si>
    <t>Top Helanca Manga Longa (Vermelho)</t>
  </si>
  <si>
    <t>Top Helanca Manga Longa (Preto)</t>
  </si>
  <si>
    <t>Top Helanca Manga Longa (Branco)</t>
  </si>
  <si>
    <t>ED0159</t>
  </si>
  <si>
    <t>Top Helanca Manga Longa</t>
  </si>
  <si>
    <t>ED0160</t>
  </si>
  <si>
    <t xml:space="preserve">Lobo Mau </t>
  </si>
  <si>
    <t xml:space="preserve">ED0161 </t>
  </si>
  <si>
    <t>Chapéuzinho Vermelho (Ap. 15 Capas)</t>
  </si>
  <si>
    <t>ED0163</t>
  </si>
  <si>
    <t xml:space="preserve">Arlequina </t>
  </si>
  <si>
    <t>ED0165</t>
  </si>
  <si>
    <t xml:space="preserve">Alice - Tradicional </t>
  </si>
  <si>
    <t>ED0166</t>
  </si>
  <si>
    <t>ED0167</t>
  </si>
  <si>
    <t>Mágico (Capa + Cartola + Faixa Cinto + Gravata)</t>
  </si>
  <si>
    <t>ED0170</t>
  </si>
  <si>
    <t>Kit Princesa Rosa (Tutu+Capa+Coroa)</t>
  </si>
  <si>
    <t>ED0171</t>
  </si>
  <si>
    <t>Kit Princesa Pink (Tutu+Capa+Coroa)</t>
  </si>
  <si>
    <t>ED0172</t>
  </si>
  <si>
    <t xml:space="preserve">Príncipe Valente </t>
  </si>
  <si>
    <t xml:space="preserve">ED0173 </t>
  </si>
  <si>
    <t xml:space="preserve">Pirata dos Sete Mares </t>
  </si>
  <si>
    <t>ED0175</t>
  </si>
  <si>
    <t>Aracnidea</t>
  </si>
  <si>
    <t>ED0178</t>
  </si>
  <si>
    <t>ED0183</t>
  </si>
  <si>
    <t xml:space="preserve">Cartola Catavento </t>
  </si>
  <si>
    <t>ED0184</t>
  </si>
  <si>
    <t xml:space="preserve">Cartola Circus </t>
  </si>
  <si>
    <t>ED0185</t>
  </si>
  <si>
    <t>Mini Cartola Carnaval</t>
  </si>
  <si>
    <t>ED0188</t>
  </si>
  <si>
    <t xml:space="preserve">Cartola Floral </t>
  </si>
  <si>
    <t>ED0189</t>
  </si>
  <si>
    <t>Angel Girl</t>
  </si>
  <si>
    <t>ED0190</t>
  </si>
  <si>
    <t>Asa Borboleta C/ Tiara</t>
  </si>
  <si>
    <t>ED0191</t>
  </si>
  <si>
    <t>Palhacinha Xulipa</t>
  </si>
  <si>
    <t>ED0192</t>
  </si>
  <si>
    <t xml:space="preserve"> Palhacinho Pirulito</t>
  </si>
  <si>
    <t>ED0193</t>
  </si>
  <si>
    <t>Palhaça Jujuba</t>
  </si>
  <si>
    <t>ED0194</t>
  </si>
  <si>
    <t>Palhaço Paçoca</t>
  </si>
  <si>
    <t>ED0195</t>
  </si>
  <si>
    <t>Colete Palhaço Luxo Unissex</t>
  </si>
  <si>
    <t>ED0196</t>
  </si>
  <si>
    <t>Grega</t>
  </si>
  <si>
    <t>ED0197</t>
  </si>
  <si>
    <t>La Casa de Papel Feminino(Macacão Curto+ Máscara)</t>
  </si>
  <si>
    <t>ED0202</t>
  </si>
  <si>
    <t>Tiara Ratinha Paetê Luxo</t>
  </si>
  <si>
    <t>ED0204</t>
  </si>
  <si>
    <t>Top Caribenho</t>
  </si>
  <si>
    <t>ED0205</t>
  </si>
  <si>
    <t>Arlequina Adulta</t>
  </si>
  <si>
    <t>ED0207</t>
  </si>
  <si>
    <t>Short Cute Adulto</t>
  </si>
  <si>
    <t>ED0208</t>
  </si>
  <si>
    <t>Short Cute Infantil</t>
  </si>
  <si>
    <t>ED0209</t>
  </si>
  <si>
    <t>Tiara Coelho</t>
  </si>
  <si>
    <t>ED0210</t>
  </si>
  <si>
    <t>Tiara Circus</t>
  </si>
  <si>
    <t>ED0211</t>
  </si>
  <si>
    <t>Tiara Unicórnio</t>
  </si>
  <si>
    <t xml:space="preserve">ED0215 </t>
  </si>
  <si>
    <t xml:space="preserve">Mini Coroa Rainha de Copas  </t>
  </si>
  <si>
    <t>ED0216</t>
  </si>
  <si>
    <t>Tutu Naipes</t>
  </si>
  <si>
    <t>ED0218</t>
  </si>
  <si>
    <t>Tutu Alice Infantil</t>
  </si>
  <si>
    <t>ED0222</t>
  </si>
  <si>
    <t xml:space="preserve">Tutu Pirata Luxo com Listras </t>
  </si>
  <si>
    <t>ED0226</t>
  </si>
  <si>
    <t>Chapéu Capitão Pirata</t>
  </si>
  <si>
    <t>ED0234</t>
  </si>
  <si>
    <t>Luva Romance Preta      ADULTO</t>
  </si>
  <si>
    <t>ED0235</t>
  </si>
  <si>
    <t>Luva Romance Branca    ADULTO</t>
  </si>
  <si>
    <t>ED0236</t>
  </si>
  <si>
    <t>Luva Romance Royal       ADULTO</t>
  </si>
  <si>
    <t>ED0237</t>
  </si>
  <si>
    <t>Luva Romance Azul Bebê  ADULTO</t>
  </si>
  <si>
    <t>ED0238</t>
  </si>
  <si>
    <t>Luva Romance Turquesa    ADULTO</t>
  </si>
  <si>
    <t>ED0239</t>
  </si>
  <si>
    <t>Luva Romance Amarela   ADULTO</t>
  </si>
  <si>
    <t>ED0240</t>
  </si>
  <si>
    <t>Luva Romance Rosa     ADULTO</t>
  </si>
  <si>
    <t>ED0241</t>
  </si>
  <si>
    <t>Luva Romance Lilas  ADULTO</t>
  </si>
  <si>
    <t>ED0242</t>
  </si>
  <si>
    <t>Luva Romance Vermelha  ADULTO</t>
  </si>
  <si>
    <t>ED0248</t>
  </si>
  <si>
    <t>Faraó Ramsés Super Luxo</t>
  </si>
  <si>
    <t>ED0249</t>
  </si>
  <si>
    <t>Egípcio</t>
  </si>
  <si>
    <t>ED0250</t>
  </si>
  <si>
    <t>Cleópatra</t>
  </si>
  <si>
    <t>ED0251</t>
  </si>
  <si>
    <t>Rainha do Nilo</t>
  </si>
  <si>
    <t>ED0252</t>
  </si>
  <si>
    <t xml:space="preserve"> Príncipe do Egito</t>
  </si>
  <si>
    <t>ED0253</t>
  </si>
  <si>
    <t>Princesa Egípcia</t>
  </si>
  <si>
    <t>ED0267</t>
  </si>
  <si>
    <t xml:space="preserve">Bailarina Organza </t>
  </si>
  <si>
    <t>ED0270</t>
  </si>
  <si>
    <t>Ice Princess FII - Luxo</t>
  </si>
  <si>
    <t>ED0274</t>
  </si>
  <si>
    <t xml:space="preserve"> Hot Pant Metalizado </t>
  </si>
  <si>
    <t>ED0275</t>
  </si>
  <si>
    <t>Princess Anne F2 - Basic</t>
  </si>
  <si>
    <t>ED0278</t>
  </si>
  <si>
    <t xml:space="preserve">Hot Pant c/ Alças </t>
  </si>
  <si>
    <t>ED0279</t>
  </si>
  <si>
    <t>Pochete Dragon (Prata)</t>
  </si>
  <si>
    <t>Pochete Dragon (Verde)</t>
  </si>
  <si>
    <t>ED0280</t>
  </si>
  <si>
    <t>Pochete Arco Iris</t>
  </si>
  <si>
    <t>ED0281</t>
  </si>
  <si>
    <t>Pochete Ouro</t>
  </si>
  <si>
    <t>ED0282</t>
  </si>
  <si>
    <t>Pochete Prata</t>
  </si>
  <si>
    <t>ED0283</t>
  </si>
  <si>
    <t>Pochete Paetê Azul Royal</t>
  </si>
  <si>
    <t>ED0284</t>
  </si>
  <si>
    <t>Pochete Paetê Preta</t>
  </si>
  <si>
    <t>ED0285</t>
  </si>
  <si>
    <t>Pochete Paetê Vermelha</t>
  </si>
  <si>
    <t>ED0286</t>
  </si>
  <si>
    <t xml:space="preserve">Super Herói Bolt Boy                                 </t>
  </si>
  <si>
    <t>ED0287</t>
  </si>
  <si>
    <t>Saia Sereia Curta</t>
  </si>
  <si>
    <t>ED0288</t>
  </si>
  <si>
    <t xml:space="preserve">Super Herói Nipo Boy                               </t>
  </si>
  <si>
    <t>ED0289</t>
  </si>
  <si>
    <t>Saia Sereia com Cauda</t>
  </si>
  <si>
    <t>ED0290</t>
  </si>
  <si>
    <t xml:space="preserve">Top Metalizado Sortidos  </t>
  </si>
  <si>
    <t>ED0293</t>
  </si>
  <si>
    <t xml:space="preserve">Super Bombeiro                                             </t>
  </si>
  <si>
    <t>ED0294</t>
  </si>
  <si>
    <t>ED0296</t>
  </si>
  <si>
    <t xml:space="preserve">Rapunzel                                                            </t>
  </si>
  <si>
    <t>ED0297</t>
  </si>
  <si>
    <t>Ice Princess F2 - Luxo</t>
  </si>
  <si>
    <t>ED0304</t>
  </si>
  <si>
    <t>ED0322</t>
  </si>
  <si>
    <t xml:space="preserve">Princesa Bella Curta                                       </t>
  </si>
  <si>
    <t>ED0323</t>
  </si>
  <si>
    <t xml:space="preserve">Princesa Cindy Curta                                     </t>
  </si>
  <si>
    <t>ED0324</t>
  </si>
  <si>
    <t xml:space="preserve">Princesa Branca de Neve Curta                 </t>
  </si>
  <si>
    <t>ED0325</t>
  </si>
  <si>
    <t xml:space="preserve">Princesa Bela Adormecida Curta                </t>
  </si>
  <si>
    <t>ED0326</t>
  </si>
  <si>
    <t xml:space="preserve">Princesa Rapunzel Curta                               </t>
  </si>
  <si>
    <t>ED0328</t>
  </si>
  <si>
    <t xml:space="preserve">Maori Flor                                                          </t>
  </si>
  <si>
    <t>ED0329</t>
  </si>
  <si>
    <t>Capa Manto Akatsuki</t>
  </si>
  <si>
    <t>ED0338</t>
  </si>
  <si>
    <t xml:space="preserve">Round 6 Simbolo Quadrado Mascar+Cinto  </t>
  </si>
  <si>
    <t>ED0339</t>
  </si>
  <si>
    <t xml:space="preserve">Round 6 Simbolo Circulo Mascara+Cinto      </t>
  </si>
  <si>
    <t>ED0340</t>
  </si>
  <si>
    <t xml:space="preserve">Round 6 Simbolo Triangulo Mascara+Cinto   </t>
  </si>
  <si>
    <t>ED0341</t>
  </si>
  <si>
    <t xml:space="preserve">Mestre Black Capa+Mascara  </t>
  </si>
  <si>
    <t>ED0343</t>
  </si>
  <si>
    <t>ED0344</t>
  </si>
  <si>
    <t>ED0345</t>
  </si>
  <si>
    <t xml:space="preserve">Round 6 Simbolo Triangulo Mascara+Cinto  </t>
  </si>
  <si>
    <t>ED0346</t>
  </si>
  <si>
    <t xml:space="preserve">Mestre Black Capa+Mascara                               </t>
  </si>
  <si>
    <t>ED0347</t>
  </si>
  <si>
    <t>Batatinha Frita</t>
  </si>
  <si>
    <t>ED0351</t>
  </si>
  <si>
    <t>Taco Good Night</t>
  </si>
  <si>
    <t>ED0354</t>
  </si>
  <si>
    <t xml:space="preserve">Encantadora Bel  Vestido+Bolsa+Oculos     </t>
  </si>
  <si>
    <t>ED0357</t>
  </si>
  <si>
    <r>
      <rPr>
        <b/>
        <sz val="9"/>
        <rFont val="Calibri"/>
        <charset val="134"/>
        <scheme val="minor"/>
      </rPr>
      <t>Luva Princesa Pink      I</t>
    </r>
    <r>
      <rPr>
        <b/>
        <sz val="9"/>
        <color rgb="FFFF0000"/>
        <rFont val="Calibri"/>
        <charset val="134"/>
        <scheme val="minor"/>
      </rPr>
      <t>NFANTIL</t>
    </r>
  </si>
  <si>
    <t>ED0358</t>
  </si>
  <si>
    <t>Luva Princesa Lilas     INFANTIL</t>
  </si>
  <si>
    <t>ED0359</t>
  </si>
  <si>
    <t>Luva Princesa Amarela     INFANTIL</t>
  </si>
  <si>
    <t>ED0360</t>
  </si>
  <si>
    <t>Luva Princesa Azul Claro   INFANTIL</t>
  </si>
  <si>
    <t>ED0361</t>
  </si>
  <si>
    <t>Luva Princesa Rosa     INFANTIL</t>
  </si>
  <si>
    <t>ED0364</t>
  </si>
  <si>
    <t xml:space="preserve">Encantadora  Iza  Vestido+Bolsa                       </t>
  </si>
  <si>
    <t>ED0372</t>
  </si>
  <si>
    <t>Maori Adulta</t>
  </si>
  <si>
    <t>ED0373</t>
  </si>
  <si>
    <t>Kit Casa Comigo (TUTU+VÉU+LIGA)</t>
  </si>
  <si>
    <t>ED0375</t>
  </si>
  <si>
    <t>Kit Ratinha (TUTU+BRAÇADEIRAS+ORELHAS)</t>
  </si>
  <si>
    <t>ED0376</t>
  </si>
  <si>
    <t>Kit Unicornio (TUTU+TIARA+BRAÇADEIRA)</t>
  </si>
  <si>
    <t>ED0377</t>
  </si>
  <si>
    <t>Lilac  Curta</t>
  </si>
  <si>
    <t>ED0379</t>
  </si>
  <si>
    <t>Kit Confete (tutu+tiara)   CORES SORTIDAS</t>
  </si>
  <si>
    <t>ED0380</t>
  </si>
  <si>
    <t>Kit Coelha Play Boy (TUTU+GRAVATA+PUNHO+ORELHA)</t>
  </si>
  <si>
    <t>ED0381</t>
  </si>
  <si>
    <t>Tutu Brocado brilho-  CORES SORTIDAS</t>
  </si>
  <si>
    <t>ED0382</t>
  </si>
  <si>
    <t>Frente Única Paete (Pink)</t>
  </si>
  <si>
    <t>Frente Única Paete (Azul Royal)</t>
  </si>
  <si>
    <t>Frente Única Paete (Vermelho)</t>
  </si>
  <si>
    <t>Frente Única Paete (Azul Claro)</t>
  </si>
  <si>
    <t>ED0383</t>
  </si>
  <si>
    <t xml:space="preserve">Tiara Cassino </t>
  </si>
  <si>
    <t>ED0388</t>
  </si>
  <si>
    <t xml:space="preserve"> Pink Bear     </t>
  </si>
  <si>
    <t>ED0389</t>
  </si>
  <si>
    <t xml:space="preserve"> Sexta - Feira Infantil</t>
  </si>
  <si>
    <t>ED0391</t>
  </si>
  <si>
    <t>Sexta- Feira  Adulto(LANÇAMENTO)</t>
  </si>
  <si>
    <t>ED0392</t>
  </si>
  <si>
    <t>Baby Pink (LANÇAMENTO)</t>
  </si>
  <si>
    <t>ED0393</t>
  </si>
  <si>
    <t>Baby Pink Adulto</t>
  </si>
  <si>
    <t>ED0408</t>
  </si>
  <si>
    <t xml:space="preserve">Hans Alemão Adulto                   </t>
  </si>
  <si>
    <t>ED0409</t>
  </si>
  <si>
    <t xml:space="preserve">Helga Alemã Adult                      </t>
  </si>
  <si>
    <t>ED0411</t>
  </si>
  <si>
    <t xml:space="preserve">Policial Adulto                            </t>
  </si>
  <si>
    <t>ED0412</t>
  </si>
  <si>
    <t xml:space="preserve">Enfermeira Adulto                    </t>
  </si>
  <si>
    <t>ED0413</t>
  </si>
  <si>
    <t xml:space="preserve">Prisioneira                                  </t>
  </si>
  <si>
    <t>ED0414</t>
  </si>
  <si>
    <t xml:space="preserve">Saia Arco-Íris                              </t>
  </si>
  <si>
    <t>ED0415</t>
  </si>
  <si>
    <t xml:space="preserve">Kit Rumbeira                              </t>
  </si>
  <si>
    <t>ED0416</t>
  </si>
  <si>
    <t xml:space="preserve">Jardineira de Short                   </t>
  </si>
  <si>
    <t>ED0417</t>
  </si>
  <si>
    <t xml:space="preserve">Jardineira de Saia                    </t>
  </si>
  <si>
    <t>ED0418</t>
  </si>
  <si>
    <t xml:space="preserve">Short Saia                                 </t>
  </si>
  <si>
    <t>ED0420</t>
  </si>
  <si>
    <t xml:space="preserve">Unicórnio c/ Tiara </t>
  </si>
  <si>
    <t>ED0470</t>
  </si>
  <si>
    <t>Maori Aventura LANÇAMENTO</t>
  </si>
  <si>
    <t>ED063A</t>
  </si>
  <si>
    <t>Fada Arco Iris  - Vermelha</t>
  </si>
  <si>
    <t>ED063B</t>
  </si>
  <si>
    <t xml:space="preserve">Fada Arco Iris - Amarela </t>
  </si>
  <si>
    <t>ED115A</t>
  </si>
  <si>
    <t>Sapatilha Prata</t>
  </si>
  <si>
    <t>ED115B</t>
  </si>
  <si>
    <t>Sapatilha Dourada</t>
  </si>
  <si>
    <t xml:space="preserve">ED116A </t>
  </si>
  <si>
    <t>Sapatilha Gliter  (PIN) Princesa FLORESTA (Azul)</t>
  </si>
  <si>
    <t>ED116B</t>
  </si>
  <si>
    <t>Sapatilha Gliter (PIN) Princesa TILIM (Verde)</t>
  </si>
  <si>
    <t>ED116C</t>
  </si>
  <si>
    <t xml:space="preserve">Sapatilha Gliter (PIN) Princesa LA BELLE (Ouro) </t>
  </si>
  <si>
    <t xml:space="preserve">ED116D </t>
  </si>
  <si>
    <t>Sapatilha Gliter (PIN) Princesa BUTTERFLY (Turquesa)</t>
  </si>
  <si>
    <t>ED116E</t>
  </si>
  <si>
    <t xml:space="preserve">Sapatilha Gliter (PIN) Princesa LILAC (Branca)   </t>
  </si>
  <si>
    <t>ED116F</t>
  </si>
  <si>
    <t xml:space="preserve">Sapatilha Gliter (PIN) Princess (Rosa) </t>
  </si>
  <si>
    <t>ED118A</t>
  </si>
  <si>
    <t>Sapatilha Cetim c/ Bordado (Azul)</t>
  </si>
  <si>
    <t xml:space="preserve">ED118B </t>
  </si>
  <si>
    <t>Sapatilha Cetim c/ Bordado (Turqueza)</t>
  </si>
  <si>
    <t xml:space="preserve">ED118C </t>
  </si>
  <si>
    <t>Sapatilha Cetim c/ Bordado (Lilas)</t>
  </si>
  <si>
    <t xml:space="preserve">ED118D </t>
  </si>
  <si>
    <t>Sapatilha Cetim c/ Bordado (Rosa)</t>
  </si>
  <si>
    <t xml:space="preserve">ED118E </t>
  </si>
  <si>
    <t>Sapatilha Cetim c/ Bordado (Verde)</t>
  </si>
  <si>
    <t>ED122A</t>
  </si>
  <si>
    <t>Kit Capa + Espada E.V.A (Verde)</t>
  </si>
  <si>
    <t>ED122B</t>
  </si>
  <si>
    <t>Kit Capa + Espada E.V.A (Vermelho)</t>
  </si>
  <si>
    <t>ED122C</t>
  </si>
  <si>
    <t>Kit Capa + Espada E.V.A (Rosa)</t>
  </si>
  <si>
    <t>ED329A</t>
  </si>
  <si>
    <t>Capa Manto c/Forro</t>
  </si>
  <si>
    <t>ED5006</t>
  </si>
  <si>
    <t>Tutu Ratinha (Vermelha)</t>
  </si>
  <si>
    <t>ED5014</t>
  </si>
  <si>
    <t>Ratinha Paetê (Vermelha)</t>
  </si>
  <si>
    <t>HW  201</t>
  </si>
  <si>
    <t xml:space="preserve"> Capa Drácula Bember Longa </t>
  </si>
  <si>
    <t>HW 001</t>
  </si>
  <si>
    <t xml:space="preserve"> Morte (Bember)</t>
  </si>
  <si>
    <t>HW 002</t>
  </si>
  <si>
    <t xml:space="preserve"> Senhor das Trevas Bember (Sem Máscara)</t>
  </si>
  <si>
    <t>HW 016</t>
  </si>
  <si>
    <t xml:space="preserve"> Capa Drácula Bember Curta com Gola</t>
  </si>
  <si>
    <t>HW 018</t>
  </si>
  <si>
    <t>Capa Infantil Preta Bember 8/12 anos M</t>
  </si>
  <si>
    <t/>
  </si>
  <si>
    <t xml:space="preserve">HW 036 </t>
  </si>
  <si>
    <t>Bruxinha Jacy (Sem Chapéu)</t>
  </si>
  <si>
    <t>HW 048</t>
  </si>
  <si>
    <t>Cesto Abóbora Feltro</t>
  </si>
  <si>
    <t>HW 065</t>
  </si>
  <si>
    <t xml:space="preserve">Sexta - Feira Baby  (Vestido+Cinto)          </t>
  </si>
  <si>
    <t>HW 069</t>
  </si>
  <si>
    <t>Vampirinho Baby (Colete de Amarrar + Capa + Gravata)</t>
  </si>
  <si>
    <t>HW 095</t>
  </si>
  <si>
    <t>Vampirinha Baby (Capa + Colant + Tutu)</t>
  </si>
  <si>
    <t>HW 105</t>
  </si>
  <si>
    <t xml:space="preserve"> Capa Renascença Cacharrel Unisex c/ Capuz </t>
  </si>
  <si>
    <t>HW 106</t>
  </si>
  <si>
    <t xml:space="preserve"> Capa Renascença Cacharrel Unisex Bicolor c/ Capuz</t>
  </si>
  <si>
    <t>HW 109</t>
  </si>
  <si>
    <t>Colete Vampiro Metalizado c/ Gravata</t>
  </si>
  <si>
    <t>HW 110</t>
  </si>
  <si>
    <t xml:space="preserve"> Colete Drácula Jackard Cetim Sortido com Gravata</t>
  </si>
  <si>
    <t>HW 112</t>
  </si>
  <si>
    <t xml:space="preserve"> Bruxa Sexy (Vestido com Chapéu)</t>
  </si>
  <si>
    <t>HW 115</t>
  </si>
  <si>
    <t>Capa Cetim c/ Gola (Preta / Vermelha)</t>
  </si>
  <si>
    <t>HW 116</t>
  </si>
  <si>
    <t>Capa Draculinha Cacharrel c/ Gola</t>
  </si>
  <si>
    <t>HW 121</t>
  </si>
  <si>
    <t>Vâmpiro Dimitri Colete de Amarrar (Capa + Colete + Gravata)</t>
  </si>
  <si>
    <t>HW 122</t>
  </si>
  <si>
    <t>El Diablo Infantil (Colete + Capa + Jabô + Tiara)</t>
  </si>
  <si>
    <t>HW 123</t>
  </si>
  <si>
    <t xml:space="preserve"> El Diablo Adulto (Capa + Colete + Gravata + Tiara Chifre) </t>
  </si>
  <si>
    <t>HW 124</t>
  </si>
  <si>
    <t xml:space="preserve">Assombração        </t>
  </si>
  <si>
    <t>HW 125</t>
  </si>
  <si>
    <t xml:space="preserve">Fantasminha Gaspar </t>
  </si>
  <si>
    <t>HW 126</t>
  </si>
  <si>
    <t xml:space="preserve">Fantasminha Bianca (Vestido +  Tiara)  </t>
  </si>
  <si>
    <t>HW 127</t>
  </si>
  <si>
    <t>Bruxinha Abóbora (vestido)</t>
  </si>
  <si>
    <t>HW 132</t>
  </si>
  <si>
    <t>Bruxinha Teteia (vestido) (sem chapeu)</t>
  </si>
  <si>
    <t>HW 134</t>
  </si>
  <si>
    <t xml:space="preserve">Feiticeira Mafalda (Sem Chapéu) </t>
  </si>
  <si>
    <t>HW 145</t>
  </si>
  <si>
    <t>Calça Cacharel Preta (avulsa)</t>
  </si>
  <si>
    <t>HW 146</t>
  </si>
  <si>
    <t>Vampirinho Igor Luxo (Capa + Colete + Jabô )</t>
  </si>
  <si>
    <t>HW 148</t>
  </si>
  <si>
    <t>Senhorita Skull Rose (Vestido + Tiara)</t>
  </si>
  <si>
    <t>HW 149</t>
  </si>
  <si>
    <t>Senhorita Bonita (Vestido + Tiara Grinalda)</t>
  </si>
  <si>
    <t>HW 150</t>
  </si>
  <si>
    <t>Jardineira Caveira Mexicana</t>
  </si>
  <si>
    <t>HW 152</t>
  </si>
  <si>
    <t>Bruxinha Baby Avental (Vestido + Mini Chapeu + Tiara)</t>
  </si>
  <si>
    <t>HW 154</t>
  </si>
  <si>
    <t xml:space="preserve"> Vampira Sexy (Vestido c/ Capa)</t>
  </si>
  <si>
    <t>HW 158</t>
  </si>
  <si>
    <t>Mini Chapéu Bruxa - Sortido</t>
  </si>
  <si>
    <t>HW 161</t>
  </si>
  <si>
    <t>Kit Caveirinha Mexicana (Colete + Gravata)</t>
  </si>
  <si>
    <t>HW 162</t>
  </si>
  <si>
    <t xml:space="preserve"> Colete Los Muertos + Gravata</t>
  </si>
  <si>
    <t>HW 200</t>
  </si>
  <si>
    <t xml:space="preserve"> Capa Drácula Bember Curta </t>
  </si>
  <si>
    <t>HW 202</t>
  </si>
  <si>
    <t>Conde Halloween (Capa + Camisa/Colete + Calça)</t>
  </si>
  <si>
    <t>HW 204</t>
  </si>
  <si>
    <t xml:space="preserve"> Capa Cacharrel Caveira Dourada Bordada (Sem Cartola)</t>
  </si>
  <si>
    <t>HW 205</t>
  </si>
  <si>
    <t xml:space="preserve"> Capa Rendão Aranha </t>
  </si>
  <si>
    <t>HW 206</t>
  </si>
  <si>
    <t xml:space="preserve"> Capa Vampira Gótica (Broche na Gola)</t>
  </si>
  <si>
    <t>HW 208</t>
  </si>
  <si>
    <t xml:space="preserve">Evil Queen (Vestido + Testeira)  </t>
  </si>
  <si>
    <t>HW 212</t>
  </si>
  <si>
    <t xml:space="preserve">Jardineira Halloween Estampas Sortidas </t>
  </si>
  <si>
    <t>HW 215</t>
  </si>
  <si>
    <t xml:space="preserve"> Jack Halloween (calça + paleto)</t>
  </si>
  <si>
    <t>HW 216</t>
  </si>
  <si>
    <t xml:space="preserve"> Jack`s Girlfriend (colete + saia)</t>
  </si>
  <si>
    <t>HW 217</t>
  </si>
  <si>
    <t xml:space="preserve"> Vassoura Bruxinha Charmosa - Avulsa Sortida</t>
  </si>
  <si>
    <t>HW 219</t>
  </si>
  <si>
    <t>Tiara Floral Senhorita Bonita</t>
  </si>
  <si>
    <t xml:space="preserve">HW 220 </t>
  </si>
  <si>
    <t xml:space="preserve"> Jabô Adulto Avulso c/ Broche</t>
  </si>
  <si>
    <t>HW 221</t>
  </si>
  <si>
    <t xml:space="preserve"> Jabô Infantil Avulso c/ Broche </t>
  </si>
  <si>
    <t>HW 222</t>
  </si>
  <si>
    <t>Gravata Morcego</t>
  </si>
  <si>
    <t xml:space="preserve">HW 225 </t>
  </si>
  <si>
    <t xml:space="preserve">Cartola Caveira Paete </t>
  </si>
  <si>
    <t>HW 226</t>
  </si>
  <si>
    <t xml:space="preserve"> Saia Esqueleto Miguelito</t>
  </si>
  <si>
    <t>HW 227</t>
  </si>
  <si>
    <t xml:space="preserve">Cartola Caveira Mexicana </t>
  </si>
  <si>
    <t>HW 228</t>
  </si>
  <si>
    <t>Cartola Voodoo</t>
  </si>
  <si>
    <t>HW 229</t>
  </si>
  <si>
    <t xml:space="preserve"> Saia Festa Mexicana</t>
  </si>
  <si>
    <t>HW 230</t>
  </si>
  <si>
    <t xml:space="preserve"> Jardineira Halloween- Estampas Sortidas</t>
  </si>
  <si>
    <t>HW 237</t>
  </si>
  <si>
    <t>Gatinha Miau  (Vestido + Tiara )</t>
  </si>
  <si>
    <t>HW 240</t>
  </si>
  <si>
    <t>Bruxinho (Calça + Blusa + Cinto + Braçadeira + Capa)</t>
  </si>
  <si>
    <t>HW 242</t>
  </si>
  <si>
    <t>Bruxinha Doces x Travessura (Sem Chapéu)</t>
  </si>
  <si>
    <t>HW 246</t>
  </si>
  <si>
    <t>Bruxinha Lolita (Sem Chapéu)</t>
  </si>
  <si>
    <t>HW 252</t>
  </si>
  <si>
    <t>Festa no Céu (Vestido c/ Tiara e Bolero)</t>
  </si>
  <si>
    <t>HW 253</t>
  </si>
  <si>
    <t xml:space="preserve">Super Caveirinha (Macacão Curto + Cinto + Capa)   </t>
  </si>
  <si>
    <t>HW 254</t>
  </si>
  <si>
    <t>Carrasquinho (tunica com corrente)</t>
  </si>
  <si>
    <t>HW 255</t>
  </si>
  <si>
    <t>Mago (túnica/cinto/gola) Preto</t>
  </si>
  <si>
    <t>HW 257</t>
  </si>
  <si>
    <t>Bruxinha Morceguinha (Sem Chapéu)</t>
  </si>
  <si>
    <t>HW 258</t>
  </si>
  <si>
    <t>Bruxinha Janejan (Sem Chapéu)</t>
  </si>
  <si>
    <t>HW 268</t>
  </si>
  <si>
    <t>El Mariachi (camiseta + calça )</t>
  </si>
  <si>
    <t>HW 269</t>
  </si>
  <si>
    <t>Bruxinha Primeiros Passos Luxo (Vestido + Mini Chapéu)</t>
  </si>
  <si>
    <t>HW 272</t>
  </si>
  <si>
    <t>Sapatilha Prata/Ouro + Caveira Pequena</t>
  </si>
  <si>
    <t>HW 273</t>
  </si>
  <si>
    <t>Sapatilha Cetim 4 Estampas</t>
  </si>
  <si>
    <t>HW 365</t>
  </si>
  <si>
    <t>Monstrinho (camiseta + bermuda)</t>
  </si>
  <si>
    <t>HW 366</t>
  </si>
  <si>
    <t>Super Abóbora (macacao com capa)</t>
  </si>
  <si>
    <t>HW 500</t>
  </si>
  <si>
    <t>Chapéu Bruxinha Fivela Infantil</t>
  </si>
  <si>
    <t>HW 501</t>
  </si>
  <si>
    <t>Chapéu Bruxinha Galão Infantil</t>
  </si>
  <si>
    <t>HW 502</t>
  </si>
  <si>
    <t>Chapéu Bruxinha Arabesco Infantil</t>
  </si>
  <si>
    <t xml:space="preserve">HW 504 </t>
  </si>
  <si>
    <t>Chapéu Bruxa Fivela Adulto</t>
  </si>
  <si>
    <t xml:space="preserve">HW 505 </t>
  </si>
  <si>
    <t>Chapéu Bruxa Spider Roses Adulto</t>
  </si>
  <si>
    <t>HW 506</t>
  </si>
  <si>
    <t>Chapéu Bruxa Damasco Adulto</t>
  </si>
  <si>
    <t>HW 508</t>
  </si>
  <si>
    <t xml:space="preserve">Bolsa Feltro Trick or Treat </t>
  </si>
  <si>
    <t>HW 510</t>
  </si>
  <si>
    <t>Scary Boy</t>
  </si>
  <si>
    <t>HW 511</t>
  </si>
  <si>
    <t>Tiara Diaba com Flores</t>
  </si>
  <si>
    <t>HW 513</t>
  </si>
  <si>
    <t xml:space="preserve"> Vestido Bruxa Joijoi Adulto Plus Size</t>
  </si>
  <si>
    <t>HW 514</t>
  </si>
  <si>
    <t xml:space="preserve"> Vestido Tubinho Esqueleto </t>
  </si>
  <si>
    <t>HW 515</t>
  </si>
  <si>
    <t xml:space="preserve"> Macacão Skeletor com Capuz - Adulto</t>
  </si>
  <si>
    <t>HW 516</t>
  </si>
  <si>
    <t xml:space="preserve"> Tutu Red Stone- Adulto</t>
  </si>
  <si>
    <t>HW 517</t>
  </si>
  <si>
    <t xml:space="preserve"> Tutu Black Stone - Adulto</t>
  </si>
  <si>
    <t>HW 519</t>
  </si>
  <si>
    <t>Saia Dark Night - Adulto</t>
  </si>
  <si>
    <t>HW 520</t>
  </si>
  <si>
    <t xml:space="preserve"> Macacão Hand Belt (macacão + cinto)</t>
  </si>
  <si>
    <t>HW 521</t>
  </si>
  <si>
    <t xml:space="preserve">Feiticeira Astrid (Vestido + Capa) </t>
  </si>
  <si>
    <t>HW 524</t>
  </si>
  <si>
    <t>Feiticeira Sabrina (Sem Chapéu)</t>
  </si>
  <si>
    <t>HW 525</t>
  </si>
  <si>
    <t>Bruxinha Anateia (Vestido + Tiara)</t>
  </si>
  <si>
    <t>HW 526</t>
  </si>
  <si>
    <t>Teen Witch (Vestido com Capa)</t>
  </si>
  <si>
    <t>HW 528</t>
  </si>
  <si>
    <t>Bruxinha Ravena (Vestido + Tiara)</t>
  </si>
  <si>
    <t>HW 529</t>
  </si>
  <si>
    <t>Mystica (Vestido + Cinto) - (Sem Chapéu)</t>
  </si>
  <si>
    <t>HW 530</t>
  </si>
  <si>
    <t xml:space="preserve"> Senhor Sinistro</t>
  </si>
  <si>
    <t>HW 531</t>
  </si>
  <si>
    <t xml:space="preserve"> Diaba Sexy (Vestido + Capa + Tiara Chifre)</t>
  </si>
  <si>
    <t>HW 532</t>
  </si>
  <si>
    <t>Mago Merlin (Tunica + Chapéu)</t>
  </si>
  <si>
    <t>HW 534</t>
  </si>
  <si>
    <t xml:space="preserve"> Ghost</t>
  </si>
  <si>
    <t>HW 535</t>
  </si>
  <si>
    <t xml:space="preserve"> Shadow</t>
  </si>
  <si>
    <t>HW 570</t>
  </si>
  <si>
    <t>Big Juice Infantil     ( calça + paleto + peitoral)</t>
  </si>
  <si>
    <t>HW 571</t>
  </si>
  <si>
    <t>Camisa Fake (LANÇAMENTO)</t>
  </si>
  <si>
    <t>HW 572</t>
  </si>
  <si>
    <t>Kit Freira Adulto(LANÇAMENTO)</t>
  </si>
  <si>
    <t>HW 573</t>
  </si>
  <si>
    <t>Kit 5 Gargantilhas HW Sortida(LANÇAMENTO)</t>
  </si>
  <si>
    <t>HW 574</t>
  </si>
  <si>
    <t>Tiara Catrina - Roxo e preto  (LANÇAMENTO)</t>
  </si>
  <si>
    <t>HW 575</t>
  </si>
  <si>
    <t>Tiara Caveirinha (LANÇAMENTO)</t>
  </si>
  <si>
    <t xml:space="preserve">HW 576 </t>
  </si>
  <si>
    <t>Tiara Floral   (LANÇAMENTO)</t>
  </si>
  <si>
    <t>HW 577</t>
  </si>
  <si>
    <t>Tiara Abóbora (LANÇAMENTO)</t>
  </si>
  <si>
    <t>HW 578</t>
  </si>
  <si>
    <t>Tiara Halloween Diabo</t>
  </si>
  <si>
    <t>HW 579</t>
  </si>
  <si>
    <t>Tiara Monstrinho (LANÇAMENTO)</t>
  </si>
  <si>
    <t>HW 580</t>
  </si>
  <si>
    <t xml:space="preserve">Luva Esqueleto </t>
  </si>
  <si>
    <t>HW 581</t>
  </si>
  <si>
    <t>State Prison   (LANÇAMENTO)</t>
  </si>
  <si>
    <t>HW 582</t>
  </si>
  <si>
    <t>Vestido  Morcego   (LANÇAMENTO)</t>
  </si>
  <si>
    <t>HW 583</t>
  </si>
  <si>
    <t>Regata Halloween   (LANÇAMENTO)</t>
  </si>
  <si>
    <t>HW 584</t>
  </si>
  <si>
    <t>Big Juice Man  (LANÇAMENTO) (calça + paleto)</t>
  </si>
  <si>
    <t>HW 585</t>
  </si>
  <si>
    <t>Big Juice Girl  (LANÇAMENTO) (colete + saia)</t>
  </si>
  <si>
    <t>HW 586</t>
  </si>
  <si>
    <t>Colete Luxo   (LANÇAMENTO)</t>
  </si>
  <si>
    <t xml:space="preserve">HW 587 </t>
  </si>
  <si>
    <t>Freira  Zumbi (LANÇAMENTO) (habito + véu + peitoral)</t>
  </si>
  <si>
    <t>HW 588</t>
  </si>
  <si>
    <t>Padre Zumbi (LANÇAMENTO) (batina + estola)</t>
  </si>
  <si>
    <t>HW 589</t>
  </si>
  <si>
    <t>Terninho  Esqueleto ( calça + paleto )</t>
  </si>
  <si>
    <t>HW 602</t>
  </si>
  <si>
    <t>Saia dos Anos 60 (Sortidas) (Cinto + Lenço)</t>
  </si>
  <si>
    <t>HW017</t>
  </si>
  <si>
    <t>Capa Infantil Preta Bember 3/6 anos P</t>
  </si>
  <si>
    <t>HW0590</t>
  </si>
  <si>
    <t>Freira Plus Size</t>
  </si>
  <si>
    <t>HW0591</t>
  </si>
  <si>
    <t>Noviça Vestido+Véu +Luvas  (LANÇAMENTO)</t>
  </si>
  <si>
    <t>HW0592</t>
  </si>
  <si>
    <t>Wizard  (LANÇAMENTO) (tunica + capa + cinto)</t>
  </si>
  <si>
    <t>HW0593</t>
  </si>
  <si>
    <t>Catrina Plus Size</t>
  </si>
  <si>
    <t>HW0594</t>
  </si>
  <si>
    <t>Malvadona (LANÇAMENTO)</t>
  </si>
  <si>
    <t>HW0595</t>
  </si>
  <si>
    <t>Reaper -  (LANÇAMENTO)</t>
  </si>
  <si>
    <t>HW233</t>
  </si>
  <si>
    <t>Cartola Dia de Los Muertos</t>
  </si>
  <si>
    <t>HW236</t>
  </si>
  <si>
    <t>Cartola Feiticeiro Voodoo</t>
  </si>
  <si>
    <t>HW264</t>
  </si>
  <si>
    <t xml:space="preserve">Chapéu Bruxa Paetê </t>
  </si>
  <si>
    <t>SB0150</t>
  </si>
  <si>
    <t>Dona Ratinha Básica (Rosa/Vermelha)</t>
  </si>
  <si>
    <t>SB0153</t>
  </si>
  <si>
    <t>Baianinha (Rosa / Apenas Saia)</t>
  </si>
  <si>
    <t>Baianinha (Vermelha)</t>
  </si>
  <si>
    <t>Baianinha (Ouro)</t>
  </si>
  <si>
    <t>SB0153BL</t>
  </si>
  <si>
    <t>Baianinha (Ouro) SO A BLUSA</t>
  </si>
  <si>
    <t>SB0364</t>
  </si>
  <si>
    <t>Corsária (Rosa/Vermelha)</t>
  </si>
  <si>
    <t>SB0719</t>
  </si>
  <si>
    <t>Palhaço Pimpão (Estampas Sortidas)</t>
  </si>
  <si>
    <t>SB2544</t>
  </si>
  <si>
    <t>Super Herói Defender</t>
  </si>
  <si>
    <t>SB5011</t>
  </si>
  <si>
    <t xml:space="preserve">Tutu Carnaval </t>
  </si>
  <si>
    <t>SB5016</t>
  </si>
  <si>
    <t xml:space="preserve">Colombina </t>
  </si>
  <si>
    <t>SB5020</t>
  </si>
  <si>
    <t>Capa Só Herói + Máscara (Azul/Verde/Vermelha/Preta)</t>
  </si>
  <si>
    <t>SB7088</t>
  </si>
  <si>
    <t>Tutu Saiote de Armação</t>
  </si>
  <si>
    <t>SB7089</t>
  </si>
  <si>
    <t>Saiote de Armação Adulto</t>
  </si>
  <si>
    <t>bolsa abobora</t>
  </si>
  <si>
    <t xml:space="preserve">sacola abobora feltro </t>
  </si>
  <si>
    <t>ESTOQUE CORTE</t>
  </si>
  <si>
    <t>ED 131</t>
  </si>
  <si>
    <t>ED 142</t>
  </si>
  <si>
    <t>ED 197</t>
  </si>
  <si>
    <t>ED 329</t>
  </si>
  <si>
    <t>ED 329 A</t>
  </si>
  <si>
    <t>ED 389</t>
  </si>
  <si>
    <t xml:space="preserve">Sexta- Feira Infantil                  </t>
  </si>
  <si>
    <t>ED 391</t>
  </si>
  <si>
    <t>Sexta- Feira  Adulto     (LANÇAMENTO)</t>
  </si>
  <si>
    <t>Mago (túnica/cinto/gola) Preto/Roxo</t>
  </si>
  <si>
    <t>CAPA DO WIZARD</t>
  </si>
  <si>
    <t xml:space="preserve">DATA:                           CONTROLE DE ESTOQUE      </t>
  </si>
  <si>
    <t>CHEGADA:</t>
  </si>
  <si>
    <t>SAIDA:</t>
  </si>
  <si>
    <t>NOME</t>
  </si>
  <si>
    <t>DESTINO:</t>
  </si>
  <si>
    <t>COLABORADOR: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</si>
</sst>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  <numFmt numFmtId="180" formatCode="dddd\.d\ de\ mmmm\ de\ yyyy"/>
    <numFmt numFmtId="181" formatCode="&quot;R$&quot;#,##0.00;\-&quot;R$&quot;#,##0.00"/>
    <numFmt numFmtId="182" formatCode="_-[$R$-416]\ * #,##0.00_-;\-[$R$-416]\ * #,##0.00_-;_-[$R$-416]\ * &quot;-&quot;??_-;_-@_-"/>
    <numFmt numFmtId="183" formatCode="00000"/>
  </numFmts>
  <fonts count="32">
    <font>
      <sz val="11"/>
      <color theme="1"/>
      <name val="Calibri"/>
      <charset val="134"/>
      <scheme val="minor"/>
    </font>
    <font>
      <b/>
      <sz val="14"/>
      <color rgb="FF000000"/>
      <name val="Calibri"/>
      <charset val="134"/>
    </font>
    <font>
      <b/>
      <sz val="9"/>
      <color rgb="FF000000"/>
      <name val="Arial"/>
      <charset val="134"/>
    </font>
    <font>
      <sz val="11"/>
      <color theme="1"/>
      <name val="Calibri"/>
      <charset val="134"/>
    </font>
    <font>
      <b/>
      <sz val="11"/>
      <color rgb="FF000000"/>
      <name val="Calibri"/>
      <charset val="134"/>
    </font>
    <font>
      <b/>
      <sz val="16"/>
      <color rgb="FF000000"/>
      <name val="Calibri"/>
      <charset val="134"/>
    </font>
    <font>
      <b/>
      <sz val="9"/>
      <color theme="1"/>
      <name val="Arial"/>
      <charset val="134"/>
    </font>
    <font>
      <b/>
      <sz val="8"/>
      <color rgb="FF000000"/>
      <name val="Arial"/>
      <charset val="134"/>
    </font>
    <font>
      <b/>
      <sz val="9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10"/>
      <color rgb="FF000000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color rgb="FFFF0000"/>
      <name val="Calibri"/>
      <charset val="134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D9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3FB61"/>
        <bgColor indexed="64"/>
      </patternFill>
    </fill>
    <fill>
      <patternFill patternType="solid">
        <fgColor rgb="FFB9CDE5"/>
        <bgColor indexed="64"/>
      </patternFill>
    </fill>
    <fill>
      <patternFill patternType="solid">
        <fgColor rgb="FFD99694"/>
        <bgColor indexed="64"/>
      </patternFill>
    </fill>
    <fill>
      <patternFill patternType="solid">
        <fgColor rgb="FFB3A2C7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8" fontId="11" fillId="0" borderId="0" applyFont="0" applyFill="0" applyBorder="0" applyAlignment="0" applyProtection="0">
      <alignment vertical="center"/>
    </xf>
    <xf numFmtId="179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12" borderId="4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6" applyNumberFormat="0" applyFill="0" applyAlignment="0" applyProtection="0">
      <alignment vertical="center"/>
    </xf>
    <xf numFmtId="0" fontId="18" fillId="0" borderId="46" applyNumberFormat="0" applyFill="0" applyAlignment="0" applyProtection="0">
      <alignment vertical="center"/>
    </xf>
    <xf numFmtId="0" fontId="19" fillId="0" borderId="4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48" applyNumberFormat="0" applyAlignment="0" applyProtection="0">
      <alignment vertical="center"/>
    </xf>
    <xf numFmtId="0" fontId="21" fillId="14" borderId="49" applyNumberFormat="0" applyAlignment="0" applyProtection="0">
      <alignment vertical="center"/>
    </xf>
    <xf numFmtId="0" fontId="22" fillId="14" borderId="48" applyNumberFormat="0" applyAlignment="0" applyProtection="0">
      <alignment vertical="center"/>
    </xf>
    <xf numFmtId="0" fontId="23" fillId="15" borderId="50" applyNumberFormat="0" applyAlignment="0" applyProtection="0">
      <alignment vertical="center"/>
    </xf>
    <xf numFmtId="0" fontId="24" fillId="0" borderId="51" applyNumberFormat="0" applyFill="0" applyAlignment="0" applyProtection="0">
      <alignment vertical="center"/>
    </xf>
    <xf numFmtId="0" fontId="25" fillId="0" borderId="52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</cellStyleXfs>
  <cellXfs count="232">
    <xf numFmtId="0" fontId="0" fillId="0" borderId="0" xfId="0"/>
    <xf numFmtId="0" fontId="0" fillId="0" borderId="0" xfId="0" applyAlignment="1"/>
    <xf numFmtId="0" fontId="0" fillId="0" borderId="0" xfId="0" applyNumberFormat="1" applyAlignment="1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180" fontId="1" fillId="0" borderId="3" xfId="0" applyNumberFormat="1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2" fillId="2" borderId="4" xfId="0" applyFont="1" applyFill="1" applyBorder="1" applyAlignment="1">
      <alignment horizontal="center"/>
    </xf>
    <xf numFmtId="0" fontId="2" fillId="2" borderId="4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left"/>
    </xf>
    <xf numFmtId="0" fontId="3" fillId="0" borderId="5" xfId="0" applyNumberFormat="1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3" fillId="0" borderId="6" xfId="0" applyNumberFormat="1" applyFont="1" applyBorder="1" applyAlignment="1">
      <alignment horizontal="left"/>
    </xf>
    <xf numFmtId="3" fontId="0" fillId="0" borderId="0" xfId="0" applyNumberFormat="1" applyAlignment="1"/>
    <xf numFmtId="4" fontId="0" fillId="0" borderId="0" xfId="0" applyNumberFormat="1" applyAlignment="1"/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3" fontId="5" fillId="0" borderId="5" xfId="0" applyNumberFormat="1" applyFont="1" applyBorder="1" applyAlignment="1">
      <alignment horizontal="left"/>
    </xf>
    <xf numFmtId="0" fontId="2" fillId="2" borderId="5" xfId="0" applyFont="1" applyFill="1" applyBorder="1" applyAlignment="1">
      <alignment horizontal="center"/>
    </xf>
    <xf numFmtId="3" fontId="2" fillId="2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left"/>
    </xf>
    <xf numFmtId="3" fontId="7" fillId="4" borderId="5" xfId="0" applyNumberFormat="1" applyFont="1" applyFill="1" applyBorder="1" applyAlignment="1">
      <alignment horizontal="center"/>
    </xf>
    <xf numFmtId="3" fontId="7" fillId="3" borderId="5" xfId="0" applyNumberFormat="1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6" fillId="0" borderId="5" xfId="0" applyFont="1" applyBorder="1" applyAlignment="1">
      <alignment horizontal="left"/>
    </xf>
    <xf numFmtId="3" fontId="2" fillId="5" borderId="5" xfId="0" applyNumberFormat="1" applyFont="1" applyFill="1" applyBorder="1" applyAlignment="1">
      <alignment horizontal="center"/>
    </xf>
    <xf numFmtId="3" fontId="2" fillId="3" borderId="5" xfId="0" applyNumberFormat="1" applyFont="1" applyFill="1" applyBorder="1" applyAlignment="1">
      <alignment horizontal="center"/>
    </xf>
    <xf numFmtId="0" fontId="2" fillId="0" borderId="5" xfId="0" applyFont="1" applyBorder="1" applyAlignment="1">
      <alignment horizontal="left"/>
    </xf>
    <xf numFmtId="3" fontId="7" fillId="6" borderId="5" xfId="0" applyNumberFormat="1" applyFont="1" applyFill="1" applyBorder="1" applyAlignment="1">
      <alignment horizontal="center"/>
    </xf>
    <xf numFmtId="3" fontId="7" fillId="0" borderId="5" xfId="0" applyNumberFormat="1" applyFont="1" applyBorder="1" applyAlignment="1">
      <alignment horizontal="center"/>
    </xf>
    <xf numFmtId="0" fontId="2" fillId="3" borderId="5" xfId="0" applyFont="1" applyFill="1" applyBorder="1" applyAlignment="1">
      <alignment horizontal="left"/>
    </xf>
    <xf numFmtId="3" fontId="7" fillId="7" borderId="5" xfId="0" applyNumberFormat="1" applyFont="1" applyFill="1" applyBorder="1" applyAlignment="1">
      <alignment horizontal="center"/>
    </xf>
    <xf numFmtId="3" fontId="7" fillId="8" borderId="5" xfId="0" applyNumberFormat="1" applyFont="1" applyFill="1" applyBorder="1" applyAlignment="1">
      <alignment horizontal="center"/>
    </xf>
    <xf numFmtId="3" fontId="3" fillId="7" borderId="5" xfId="0" applyNumberFormat="1" applyFont="1" applyFill="1" applyBorder="1" applyAlignment="1">
      <alignment horizontal="left"/>
    </xf>
    <xf numFmtId="3" fontId="7" fillId="5" borderId="5" xfId="0" applyNumberFormat="1" applyFont="1" applyFill="1" applyBorder="1" applyAlignment="1">
      <alignment horizontal="center"/>
    </xf>
    <xf numFmtId="3" fontId="7" fillId="2" borderId="5" xfId="0" applyNumberFormat="1" applyFont="1" applyFill="1" applyBorder="1" applyAlignment="1">
      <alignment horizontal="center"/>
    </xf>
    <xf numFmtId="3" fontId="2" fillId="0" borderId="5" xfId="0" applyNumberFormat="1" applyFont="1" applyBorder="1" applyAlignment="1">
      <alignment horizontal="center"/>
    </xf>
    <xf numFmtId="0" fontId="2" fillId="0" borderId="10" xfId="0" applyFont="1" applyBorder="1" applyAlignment="1">
      <alignment horizontal="left"/>
    </xf>
    <xf numFmtId="3" fontId="7" fillId="8" borderId="11" xfId="0" applyNumberFormat="1" applyFont="1" applyFill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3" fontId="3" fillId="5" borderId="4" xfId="0" applyNumberFormat="1" applyFont="1" applyFill="1" applyBorder="1" applyAlignment="1">
      <alignment horizontal="left"/>
    </xf>
    <xf numFmtId="3" fontId="3" fillId="0" borderId="12" xfId="0" applyNumberFormat="1" applyFont="1" applyBorder="1" applyAlignment="1">
      <alignment horizontal="right"/>
    </xf>
    <xf numFmtId="3" fontId="3" fillId="0" borderId="5" xfId="0" applyNumberFormat="1" applyFont="1" applyBorder="1" applyAlignment="1">
      <alignment horizontal="right"/>
    </xf>
    <xf numFmtId="3" fontId="4" fillId="3" borderId="5" xfId="0" applyNumberFormat="1" applyFont="1" applyFill="1" applyBorder="1" applyAlignment="1">
      <alignment horizontal="left"/>
    </xf>
    <xf numFmtId="3" fontId="2" fillId="3" borderId="5" xfId="0" applyNumberFormat="1" applyFont="1" applyFill="1" applyBorder="1" applyAlignment="1">
      <alignment horizontal="left"/>
    </xf>
    <xf numFmtId="0" fontId="2" fillId="9" borderId="5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left"/>
    </xf>
    <xf numFmtId="3" fontId="7" fillId="9" borderId="5" xfId="0" applyNumberFormat="1" applyFont="1" applyFill="1" applyBorder="1" applyAlignment="1">
      <alignment horizontal="center"/>
    </xf>
    <xf numFmtId="4" fontId="3" fillId="0" borderId="0" xfId="0" applyNumberFormat="1" applyFont="1" applyBorder="1" applyAlignment="1">
      <alignment horizontal="right"/>
    </xf>
    <xf numFmtId="181" fontId="2" fillId="3" borderId="5" xfId="0" applyNumberFormat="1" applyFont="1" applyFill="1" applyBorder="1" applyAlignment="1">
      <alignment horizontal="center"/>
    </xf>
    <xf numFmtId="0" fontId="2" fillId="3" borderId="13" xfId="0" applyFont="1" applyFill="1" applyBorder="1" applyAlignment="1">
      <alignment horizontal="left"/>
    </xf>
    <xf numFmtId="3" fontId="7" fillId="0" borderId="8" xfId="0" applyNumberFormat="1" applyFont="1" applyBorder="1" applyAlignment="1">
      <alignment horizontal="center"/>
    </xf>
    <xf numFmtId="3" fontId="7" fillId="8" borderId="14" xfId="0" applyNumberFormat="1" applyFont="1" applyFill="1" applyBorder="1" applyAlignment="1">
      <alignment horizontal="center"/>
    </xf>
    <xf numFmtId="3" fontId="2" fillId="2" borderId="4" xfId="0" applyNumberFormat="1" applyFont="1" applyFill="1" applyBorder="1" applyAlignment="1">
      <alignment horizontal="center"/>
    </xf>
    <xf numFmtId="182" fontId="8" fillId="10" borderId="5" xfId="0" applyNumberFormat="1" applyFont="1" applyFill="1" applyBorder="1" applyAlignment="1">
      <alignment horizontal="center"/>
    </xf>
    <xf numFmtId="182" fontId="8" fillId="10" borderId="5" xfId="0" applyNumberFormat="1" applyFont="1" applyFill="1" applyBorder="1" applyAlignment="1">
      <alignment horizontal="left"/>
    </xf>
    <xf numFmtId="0" fontId="9" fillId="11" borderId="5" xfId="0" applyFont="1" applyFill="1" applyBorder="1" applyAlignment="1"/>
    <xf numFmtId="0" fontId="9" fillId="11" borderId="5" xfId="0" applyFont="1" applyFill="1" applyBorder="1" applyAlignment="1">
      <alignment horizontal="center"/>
    </xf>
    <xf numFmtId="0" fontId="9" fillId="10" borderId="5" xfId="0" applyFont="1" applyFill="1" applyBorder="1" applyAlignment="1">
      <alignment horizontal="center"/>
    </xf>
    <xf numFmtId="0" fontId="9" fillId="0" borderId="5" xfId="0" applyFont="1" applyFill="1" applyBorder="1" applyAlignment="1">
      <alignment horizontal="center"/>
    </xf>
    <xf numFmtId="182" fontId="8" fillId="0" borderId="5" xfId="0" applyNumberFormat="1" applyFont="1" applyFill="1" applyBorder="1" applyAlignment="1">
      <alignment horizontal="left"/>
    </xf>
    <xf numFmtId="182" fontId="8" fillId="0" borderId="5" xfId="0" applyNumberFormat="1" applyFont="1" applyFill="1" applyBorder="1" applyAlignment="1">
      <alignment horizontal="center"/>
    </xf>
    <xf numFmtId="0" fontId="8" fillId="0" borderId="5" xfId="0" applyFont="1" applyFill="1" applyBorder="1" applyAlignment="1">
      <alignment horizontal="left" vertical="center"/>
    </xf>
    <xf numFmtId="182" fontId="8" fillId="0" borderId="10" xfId="0" applyNumberFormat="1" applyFont="1" applyFill="1" applyBorder="1" applyAlignment="1">
      <alignment horizontal="left"/>
    </xf>
    <xf numFmtId="182" fontId="9" fillId="10" borderId="5" xfId="0" applyNumberFormat="1" applyFont="1" applyFill="1" applyBorder="1" applyAlignment="1">
      <alignment horizontal="center"/>
    </xf>
    <xf numFmtId="0" fontId="9" fillId="10" borderId="5" xfId="0" applyFont="1" applyFill="1" applyBorder="1" applyAlignment="1"/>
    <xf numFmtId="182" fontId="9" fillId="10" borderId="5" xfId="0" applyNumberFormat="1" applyFont="1" applyFill="1" applyBorder="1" applyAlignment="1">
      <alignment horizontal="center" vertical="center"/>
    </xf>
    <xf numFmtId="0" fontId="8" fillId="10" borderId="5" xfId="0" applyFont="1" applyFill="1" applyBorder="1" applyAlignment="1">
      <alignment horizontal="left" vertical="center"/>
    </xf>
    <xf numFmtId="0" fontId="9" fillId="10" borderId="5" xfId="0" applyFont="1" applyFill="1" applyBorder="1" applyAlignment="1">
      <alignment horizontal="center" vertical="center"/>
    </xf>
    <xf numFmtId="0" fontId="9" fillId="0" borderId="5" xfId="0" applyFont="1" applyFill="1" applyBorder="1" applyAlignment="1"/>
    <xf numFmtId="0" fontId="9" fillId="10" borderId="11" xfId="0" applyFont="1" applyFill="1" applyBorder="1" applyAlignment="1">
      <alignment horizontal="center" vertical="center"/>
    </xf>
    <xf numFmtId="3" fontId="3" fillId="5" borderId="15" xfId="0" applyNumberFormat="1" applyFont="1" applyFill="1" applyBorder="1" applyAlignment="1">
      <alignment horizontal="left"/>
    </xf>
    <xf numFmtId="181" fontId="3" fillId="0" borderId="0" xfId="0" applyNumberFormat="1" applyFont="1" applyBorder="1" applyAlignment="1">
      <alignment horizontal="right"/>
    </xf>
    <xf numFmtId="182" fontId="9" fillId="0" borderId="5" xfId="0" applyNumberFormat="1" applyFont="1" applyFill="1" applyBorder="1" applyAlignment="1">
      <alignment horizontal="center" vertical="center"/>
    </xf>
    <xf numFmtId="177" fontId="8" fillId="0" borderId="5" xfId="0" applyNumberFormat="1" applyFont="1" applyFill="1" applyBorder="1" applyAlignment="1">
      <alignment horizontal="left" wrapText="1"/>
    </xf>
    <xf numFmtId="183" fontId="9" fillId="11" borderId="5" xfId="0" applyNumberFormat="1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center" vertical="center" wrapText="1"/>
    </xf>
    <xf numFmtId="182" fontId="9" fillId="10" borderId="16" xfId="0" applyNumberFormat="1" applyFont="1" applyFill="1" applyBorder="1" applyAlignment="1">
      <alignment horizontal="center"/>
    </xf>
    <xf numFmtId="182" fontId="8" fillId="10" borderId="17" xfId="0" applyNumberFormat="1" applyFont="1" applyFill="1" applyBorder="1" applyAlignment="1">
      <alignment horizontal="left"/>
    </xf>
    <xf numFmtId="0" fontId="9" fillId="0" borderId="18" xfId="0" applyFont="1" applyFill="1" applyBorder="1" applyAlignment="1"/>
    <xf numFmtId="0" fontId="9" fillId="11" borderId="18" xfId="0" applyFont="1" applyFill="1" applyBorder="1" applyAlignment="1"/>
    <xf numFmtId="0" fontId="9" fillId="11" borderId="18" xfId="0" applyFont="1" applyFill="1" applyBorder="1" applyAlignment="1">
      <alignment horizontal="center"/>
    </xf>
    <xf numFmtId="0" fontId="9" fillId="11" borderId="19" xfId="0" applyFont="1" applyFill="1" applyBorder="1" applyAlignment="1">
      <alignment horizontal="center"/>
    </xf>
    <xf numFmtId="182" fontId="8" fillId="10" borderId="20" xfId="0" applyNumberFormat="1" applyFont="1" applyFill="1" applyBorder="1" applyAlignment="1">
      <alignment horizontal="center"/>
    </xf>
    <xf numFmtId="182" fontId="8" fillId="10" borderId="21" xfId="0" applyNumberFormat="1" applyFont="1" applyFill="1" applyBorder="1" applyAlignment="1">
      <alignment horizontal="left"/>
    </xf>
    <xf numFmtId="0" fontId="9" fillId="11" borderId="22" xfId="0" applyFont="1" applyFill="1" applyBorder="1" applyAlignment="1"/>
    <xf numFmtId="0" fontId="9" fillId="11" borderId="22" xfId="0" applyFont="1" applyFill="1" applyBorder="1" applyAlignment="1">
      <alignment horizontal="center"/>
    </xf>
    <xf numFmtId="0" fontId="9" fillId="10" borderId="22" xfId="0" applyFont="1" applyFill="1" applyBorder="1" applyAlignment="1">
      <alignment horizontal="center"/>
    </xf>
    <xf numFmtId="0" fontId="9" fillId="11" borderId="23" xfId="0" applyFont="1" applyFill="1" applyBorder="1" applyAlignment="1">
      <alignment horizontal="center"/>
    </xf>
    <xf numFmtId="0" fontId="9" fillId="0" borderId="23" xfId="0" applyFont="1" applyFill="1" applyBorder="1" applyAlignment="1">
      <alignment horizontal="center"/>
    </xf>
    <xf numFmtId="182" fontId="8" fillId="0" borderId="20" xfId="0" applyNumberFormat="1" applyFont="1" applyFill="1" applyBorder="1" applyAlignment="1">
      <alignment horizontal="center"/>
    </xf>
    <xf numFmtId="0" fontId="8" fillId="0" borderId="21" xfId="0" applyFont="1" applyFill="1" applyBorder="1" applyAlignment="1">
      <alignment horizontal="left" vertical="center"/>
    </xf>
    <xf numFmtId="182" fontId="8" fillId="0" borderId="21" xfId="0" applyNumberFormat="1" applyFont="1" applyFill="1" applyBorder="1" applyAlignment="1">
      <alignment horizontal="left"/>
    </xf>
    <xf numFmtId="0" fontId="9" fillId="10" borderId="23" xfId="0" applyFont="1" applyFill="1" applyBorder="1" applyAlignment="1">
      <alignment horizontal="center"/>
    </xf>
    <xf numFmtId="182" fontId="9" fillId="10" borderId="20" xfId="0" applyNumberFormat="1" applyFont="1" applyFill="1" applyBorder="1" applyAlignment="1">
      <alignment horizontal="center"/>
    </xf>
    <xf numFmtId="0" fontId="9" fillId="10" borderId="22" xfId="0" applyFont="1" applyFill="1" applyBorder="1" applyAlignment="1">
      <alignment horizontal="center" vertical="center"/>
    </xf>
    <xf numFmtId="0" fontId="9" fillId="10" borderId="18" xfId="0" applyFont="1" applyFill="1" applyBorder="1" applyAlignment="1">
      <alignment horizontal="center" vertical="center"/>
    </xf>
    <xf numFmtId="0" fontId="9" fillId="10" borderId="22" xfId="0" applyFont="1" applyFill="1" applyBorder="1" applyAlignment="1"/>
    <xf numFmtId="0" fontId="9" fillId="0" borderId="22" xfId="0" applyFont="1" applyFill="1" applyBorder="1" applyAlignment="1"/>
    <xf numFmtId="0" fontId="9" fillId="0" borderId="22" xfId="0" applyFont="1" applyFill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left"/>
    </xf>
    <xf numFmtId="3" fontId="2" fillId="5" borderId="22" xfId="0" applyNumberFormat="1" applyFont="1" applyFill="1" applyBorder="1" applyAlignment="1">
      <alignment horizontal="center"/>
    </xf>
    <xf numFmtId="3" fontId="2" fillId="3" borderId="22" xfId="0" applyNumberFormat="1" applyFont="1" applyFill="1" applyBorder="1" applyAlignment="1">
      <alignment horizontal="center"/>
    </xf>
    <xf numFmtId="3" fontId="3" fillId="0" borderId="23" xfId="0" applyNumberFormat="1" applyFont="1" applyBorder="1" applyAlignment="1">
      <alignment horizontal="right"/>
    </xf>
    <xf numFmtId="182" fontId="8" fillId="10" borderId="24" xfId="0" applyNumberFormat="1" applyFont="1" applyFill="1" applyBorder="1" applyAlignment="1">
      <alignment horizontal="center"/>
    </xf>
    <xf numFmtId="182" fontId="8" fillId="10" borderId="25" xfId="0" applyNumberFormat="1" applyFont="1" applyFill="1" applyBorder="1" applyAlignment="1">
      <alignment horizontal="left"/>
    </xf>
    <xf numFmtId="0" fontId="9" fillId="11" borderId="26" xfId="0" applyFont="1" applyFill="1" applyBorder="1" applyAlignment="1"/>
    <xf numFmtId="0" fontId="9" fillId="11" borderId="26" xfId="0" applyFont="1" applyFill="1" applyBorder="1" applyAlignment="1">
      <alignment horizontal="center"/>
    </xf>
    <xf numFmtId="0" fontId="9" fillId="10" borderId="26" xfId="0" applyFont="1" applyFill="1" applyBorder="1" applyAlignment="1">
      <alignment horizontal="center"/>
    </xf>
    <xf numFmtId="0" fontId="9" fillId="0" borderId="27" xfId="0" applyFont="1" applyFill="1" applyBorder="1" applyAlignment="1">
      <alignment horizontal="center"/>
    </xf>
    <xf numFmtId="182" fontId="8" fillId="10" borderId="16" xfId="0" applyNumberFormat="1" applyFont="1" applyFill="1" applyBorder="1" applyAlignment="1">
      <alignment horizontal="center"/>
    </xf>
    <xf numFmtId="0" fontId="9" fillId="10" borderId="18" xfId="0" applyFont="1" applyFill="1" applyBorder="1" applyAlignment="1">
      <alignment horizontal="center"/>
    </xf>
    <xf numFmtId="0" fontId="9" fillId="0" borderId="19" xfId="0" applyFont="1" applyFill="1" applyBorder="1" applyAlignment="1">
      <alignment horizontal="center"/>
    </xf>
    <xf numFmtId="182" fontId="9" fillId="10" borderId="24" xfId="0" applyNumberFormat="1" applyFont="1" applyFill="1" applyBorder="1" applyAlignment="1">
      <alignment horizontal="center"/>
    </xf>
    <xf numFmtId="0" fontId="9" fillId="11" borderId="26" xfId="0" applyFont="1" applyFill="1" applyBorder="1" applyAlignment="1">
      <alignment horizontal="center" vertical="center"/>
    </xf>
    <xf numFmtId="0" fontId="9" fillId="0" borderId="26" xfId="0" applyFont="1" applyFill="1" applyBorder="1" applyAlignment="1"/>
    <xf numFmtId="0" fontId="9" fillId="11" borderId="27" xfId="0" applyFont="1" applyFill="1" applyBorder="1" applyAlignment="1">
      <alignment horizontal="center"/>
    </xf>
    <xf numFmtId="0" fontId="9" fillId="11" borderId="18" xfId="0" applyFont="1" applyFill="1" applyBorder="1" applyAlignment="1">
      <alignment horizontal="center" vertical="center"/>
    </xf>
    <xf numFmtId="182" fontId="9" fillId="10" borderId="28" xfId="0" applyNumberFormat="1" applyFont="1" applyFill="1" applyBorder="1" applyAlignment="1">
      <alignment horizontal="center"/>
    </xf>
    <xf numFmtId="182" fontId="8" fillId="10" borderId="29" xfId="0" applyNumberFormat="1" applyFont="1" applyFill="1" applyBorder="1" applyAlignment="1">
      <alignment horizontal="left"/>
    </xf>
    <xf numFmtId="0" fontId="9" fillId="11" borderId="30" xfId="0" applyFont="1" applyFill="1" applyBorder="1" applyAlignment="1">
      <alignment horizontal="center" vertical="center"/>
    </xf>
    <xf numFmtId="0" fontId="9" fillId="11" borderId="30" xfId="0" applyFont="1" applyFill="1" applyBorder="1" applyAlignment="1"/>
    <xf numFmtId="0" fontId="9" fillId="0" borderId="30" xfId="0" applyFont="1" applyFill="1" applyBorder="1" applyAlignment="1"/>
    <xf numFmtId="0" fontId="9" fillId="11" borderId="31" xfId="0" applyFont="1" applyFill="1" applyBorder="1" applyAlignment="1">
      <alignment horizontal="center"/>
    </xf>
    <xf numFmtId="0" fontId="9" fillId="11" borderId="22" xfId="0" applyFont="1" applyFill="1" applyBorder="1" applyAlignment="1">
      <alignment horizontal="center" vertical="center"/>
    </xf>
    <xf numFmtId="182" fontId="9" fillId="10" borderId="20" xfId="0" applyNumberFormat="1" applyFont="1" applyFill="1" applyBorder="1" applyAlignment="1">
      <alignment horizontal="center" vertical="center"/>
    </xf>
    <xf numFmtId="0" fontId="8" fillId="10" borderId="21" xfId="0" applyFont="1" applyFill="1" applyBorder="1" applyAlignment="1">
      <alignment horizontal="left" vertical="center"/>
    </xf>
    <xf numFmtId="182" fontId="9" fillId="10" borderId="32" xfId="0" applyNumberFormat="1" applyFont="1" applyFill="1" applyBorder="1" applyAlignment="1">
      <alignment horizontal="center" vertical="center"/>
    </xf>
    <xf numFmtId="0" fontId="8" fillId="10" borderId="33" xfId="0" applyFont="1" applyFill="1" applyBorder="1" applyAlignment="1">
      <alignment horizontal="left" vertical="center"/>
    </xf>
    <xf numFmtId="182" fontId="8" fillId="0" borderId="17" xfId="0" applyNumberFormat="1" applyFont="1" applyFill="1" applyBorder="1" applyAlignment="1">
      <alignment horizontal="center"/>
    </xf>
    <xf numFmtId="182" fontId="8" fillId="0" borderId="34" xfId="0" applyNumberFormat="1" applyFont="1" applyFill="1" applyBorder="1" applyAlignment="1">
      <alignment horizontal="left"/>
    </xf>
    <xf numFmtId="182" fontId="9" fillId="10" borderId="21" xfId="0" applyNumberFormat="1" applyFont="1" applyFill="1" applyBorder="1" applyAlignment="1">
      <alignment horizontal="center" vertical="center"/>
    </xf>
    <xf numFmtId="0" fontId="8" fillId="10" borderId="17" xfId="0" applyFont="1" applyFill="1" applyBorder="1" applyAlignment="1">
      <alignment horizontal="left" vertical="center"/>
    </xf>
    <xf numFmtId="182" fontId="9" fillId="10" borderId="21" xfId="0" applyNumberFormat="1" applyFont="1" applyFill="1" applyBorder="1" applyAlignment="1">
      <alignment horizontal="center"/>
    </xf>
    <xf numFmtId="182" fontId="8" fillId="10" borderId="25" xfId="0" applyNumberFormat="1" applyFont="1" applyFill="1" applyBorder="1" applyAlignment="1">
      <alignment horizontal="center"/>
    </xf>
    <xf numFmtId="182" fontId="8" fillId="0" borderId="25" xfId="0" applyNumberFormat="1" applyFont="1" applyFill="1" applyBorder="1" applyAlignment="1">
      <alignment horizontal="left"/>
    </xf>
    <xf numFmtId="182" fontId="8" fillId="0" borderId="17" xfId="0" applyNumberFormat="1" applyFont="1" applyFill="1" applyBorder="1" applyAlignment="1">
      <alignment horizontal="left"/>
    </xf>
    <xf numFmtId="0" fontId="9" fillId="10" borderId="35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left"/>
    </xf>
    <xf numFmtId="3" fontId="7" fillId="4" borderId="22" xfId="0" applyNumberFormat="1" applyFont="1" applyFill="1" applyBorder="1" applyAlignment="1">
      <alignment horizontal="center"/>
    </xf>
    <xf numFmtId="3" fontId="7" fillId="3" borderId="22" xfId="0" applyNumberFormat="1" applyFont="1" applyFill="1" applyBorder="1" applyAlignment="1">
      <alignment horizontal="center"/>
    </xf>
    <xf numFmtId="0" fontId="9" fillId="10" borderId="12" xfId="0" applyFont="1" applyFill="1" applyBorder="1" applyAlignment="1">
      <alignment horizontal="center"/>
    </xf>
    <xf numFmtId="0" fontId="9" fillId="11" borderId="12" xfId="0" applyFont="1" applyFill="1" applyBorder="1" applyAlignment="1">
      <alignment horizontal="center"/>
    </xf>
    <xf numFmtId="0" fontId="9" fillId="0" borderId="12" xfId="0" applyFont="1" applyFill="1" applyBorder="1" applyAlignment="1"/>
    <xf numFmtId="182" fontId="8" fillId="10" borderId="23" xfId="0" applyNumberFormat="1" applyFont="1" applyFill="1" applyBorder="1" applyAlignment="1">
      <alignment horizontal="center"/>
    </xf>
    <xf numFmtId="3" fontId="7" fillId="0" borderId="36" xfId="0" applyNumberFormat="1" applyFont="1" applyBorder="1" applyAlignment="1">
      <alignment horizontal="center"/>
    </xf>
    <xf numFmtId="3" fontId="7" fillId="7" borderId="22" xfId="0" applyNumberFormat="1" applyFont="1" applyFill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33" xfId="0" applyFont="1" applyBorder="1" applyAlignment="1">
      <alignment horizontal="left"/>
    </xf>
    <xf numFmtId="3" fontId="2" fillId="5" borderId="37" xfId="0" applyNumberFormat="1" applyFont="1" applyFill="1" applyBorder="1" applyAlignment="1">
      <alignment horizontal="center"/>
    </xf>
    <xf numFmtId="3" fontId="2" fillId="5" borderId="38" xfId="0" applyNumberFormat="1" applyFont="1" applyFill="1" applyBorder="1" applyAlignment="1">
      <alignment horizontal="center"/>
    </xf>
    <xf numFmtId="3" fontId="2" fillId="2" borderId="38" xfId="0" applyNumberFormat="1" applyFont="1" applyFill="1" applyBorder="1" applyAlignment="1">
      <alignment horizontal="center"/>
    </xf>
    <xf numFmtId="3" fontId="2" fillId="3" borderId="38" xfId="0" applyNumberFormat="1" applyFont="1" applyFill="1" applyBorder="1" applyAlignment="1">
      <alignment horizontal="center"/>
    </xf>
    <xf numFmtId="0" fontId="2" fillId="0" borderId="21" xfId="0" applyFont="1" applyBorder="1" applyAlignment="1">
      <alignment horizontal="center"/>
    </xf>
    <xf numFmtId="3" fontId="7" fillId="6" borderId="39" xfId="0" applyNumberFormat="1" applyFont="1" applyFill="1" applyBorder="1" applyAlignment="1">
      <alignment horizontal="center"/>
    </xf>
    <xf numFmtId="3" fontId="7" fillId="6" borderId="22" xfId="0" applyNumberFormat="1" applyFont="1" applyFill="1" applyBorder="1" applyAlignment="1">
      <alignment horizontal="center"/>
    </xf>
    <xf numFmtId="3" fontId="7" fillId="0" borderId="22" xfId="0" applyNumberFormat="1" applyFont="1" applyBorder="1" applyAlignment="1">
      <alignment horizontal="center"/>
    </xf>
    <xf numFmtId="3" fontId="7" fillId="0" borderId="39" xfId="0" applyNumberFormat="1" applyFont="1" applyBorder="1" applyAlignment="1">
      <alignment horizontal="center"/>
    </xf>
    <xf numFmtId="3" fontId="7" fillId="8" borderId="22" xfId="0" applyNumberFormat="1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3" fontId="7" fillId="4" borderId="39" xfId="0" applyNumberFormat="1" applyFont="1" applyFill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5" xfId="0" applyFont="1" applyBorder="1" applyAlignment="1">
      <alignment horizontal="left"/>
    </xf>
    <xf numFmtId="3" fontId="7" fillId="4" borderId="40" xfId="0" applyNumberFormat="1" applyFont="1" applyFill="1" applyBorder="1" applyAlignment="1">
      <alignment horizontal="center"/>
    </xf>
    <xf numFmtId="3" fontId="7" fillId="3" borderId="26" xfId="0" applyNumberFormat="1" applyFont="1" applyFill="1" applyBorder="1" applyAlignment="1">
      <alignment horizontal="center"/>
    </xf>
    <xf numFmtId="3" fontId="7" fillId="4" borderId="26" xfId="0" applyNumberFormat="1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0" borderId="17" xfId="0" applyFont="1" applyBorder="1" applyAlignment="1">
      <alignment horizontal="left"/>
    </xf>
    <xf numFmtId="3" fontId="7" fillId="0" borderId="41" xfId="0" applyNumberFormat="1" applyFont="1" applyBorder="1" applyAlignment="1">
      <alignment horizontal="center"/>
    </xf>
    <xf numFmtId="3" fontId="3" fillId="7" borderId="18" xfId="0" applyNumberFormat="1" applyFont="1" applyFill="1" applyBorder="1" applyAlignment="1">
      <alignment horizontal="left"/>
    </xf>
    <xf numFmtId="3" fontId="7" fillId="7" borderId="18" xfId="0" applyNumberFormat="1" applyFont="1" applyFill="1" applyBorder="1" applyAlignment="1">
      <alignment horizontal="center"/>
    </xf>
    <xf numFmtId="3" fontId="3" fillId="0" borderId="42" xfId="0" applyNumberFormat="1" applyFont="1" applyBorder="1" applyAlignment="1">
      <alignment horizontal="right"/>
    </xf>
    <xf numFmtId="3" fontId="3" fillId="0" borderId="27" xfId="0" applyNumberFormat="1" applyFont="1" applyBorder="1" applyAlignment="1">
      <alignment horizontal="right"/>
    </xf>
    <xf numFmtId="3" fontId="3" fillId="0" borderId="19" xfId="0" applyNumberFormat="1" applyFont="1" applyBorder="1" applyAlignment="1">
      <alignment horizontal="right"/>
    </xf>
    <xf numFmtId="3" fontId="7" fillId="5" borderId="39" xfId="0" applyNumberFormat="1" applyFont="1" applyFill="1" applyBorder="1" applyAlignment="1">
      <alignment horizontal="center"/>
    </xf>
    <xf numFmtId="3" fontId="7" fillId="5" borderId="22" xfId="0" applyNumberFormat="1" applyFont="1" applyFill="1" applyBorder="1" applyAlignment="1">
      <alignment horizontal="center"/>
    </xf>
    <xf numFmtId="3" fontId="7" fillId="2" borderId="22" xfId="0" applyNumberFormat="1" applyFont="1" applyFill="1" applyBorder="1" applyAlignment="1">
      <alignment horizontal="center"/>
    </xf>
    <xf numFmtId="3" fontId="2" fillId="5" borderId="39" xfId="0" applyNumberFormat="1" applyFont="1" applyFill="1" applyBorder="1" applyAlignment="1">
      <alignment horizontal="center"/>
    </xf>
    <xf numFmtId="3" fontId="2" fillId="2" borderId="22" xfId="0" applyNumberFormat="1" applyFont="1" applyFill="1" applyBorder="1" applyAlignment="1">
      <alignment horizontal="center"/>
    </xf>
    <xf numFmtId="3" fontId="2" fillId="2" borderId="39" xfId="0" applyNumberFormat="1" applyFont="1" applyFill="1" applyBorder="1" applyAlignment="1">
      <alignment horizontal="center"/>
    </xf>
    <xf numFmtId="3" fontId="2" fillId="0" borderId="22" xfId="0" applyNumberFormat="1" applyFont="1" applyBorder="1" applyAlignment="1">
      <alignment horizontal="center"/>
    </xf>
    <xf numFmtId="3" fontId="7" fillId="4" borderId="43" xfId="0" applyNumberFormat="1" applyFont="1" applyFill="1" applyBorder="1" applyAlignment="1">
      <alignment horizontal="center"/>
    </xf>
    <xf numFmtId="3" fontId="7" fillId="3" borderId="38" xfId="0" applyNumberFormat="1" applyFont="1" applyFill="1" applyBorder="1" applyAlignment="1">
      <alignment horizontal="center"/>
    </xf>
    <xf numFmtId="3" fontId="7" fillId="4" borderId="38" xfId="0" applyNumberFormat="1" applyFont="1" applyFill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3" fontId="7" fillId="0" borderId="43" xfId="0" applyNumberFormat="1" applyFont="1" applyBorder="1" applyAlignment="1">
      <alignment horizontal="center"/>
    </xf>
    <xf numFmtId="3" fontId="7" fillId="8" borderId="38" xfId="0" applyNumberFormat="1" applyFont="1" applyFill="1" applyBorder="1" applyAlignment="1">
      <alignment horizontal="center"/>
    </xf>
    <xf numFmtId="0" fontId="2" fillId="3" borderId="33" xfId="0" applyFont="1" applyFill="1" applyBorder="1" applyAlignment="1">
      <alignment horizontal="left"/>
    </xf>
    <xf numFmtId="3" fontId="2" fillId="2" borderId="43" xfId="0" applyNumberFormat="1" applyFont="1" applyFill="1" applyBorder="1" applyAlignment="1">
      <alignment horizontal="center"/>
    </xf>
    <xf numFmtId="3" fontId="7" fillId="7" borderId="38" xfId="0" applyNumberFormat="1" applyFont="1" applyFill="1" applyBorder="1" applyAlignment="1">
      <alignment horizontal="center"/>
    </xf>
    <xf numFmtId="3" fontId="7" fillId="6" borderId="43" xfId="0" applyNumberFormat="1" applyFont="1" applyFill="1" applyBorder="1" applyAlignment="1">
      <alignment horizontal="center"/>
    </xf>
    <xf numFmtId="3" fontId="7" fillId="6" borderId="38" xfId="0" applyNumberFormat="1" applyFont="1" applyFill="1" applyBorder="1" applyAlignment="1">
      <alignment horizontal="center"/>
    </xf>
    <xf numFmtId="3" fontId="7" fillId="0" borderId="38" xfId="0" applyNumberFormat="1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3" fontId="7" fillId="6" borderId="40" xfId="0" applyNumberFormat="1" applyFont="1" applyFill="1" applyBorder="1" applyAlignment="1">
      <alignment horizontal="center"/>
    </xf>
    <xf numFmtId="3" fontId="7" fillId="6" borderId="26" xfId="0" applyNumberFormat="1" applyFont="1" applyFill="1" applyBorder="1" applyAlignment="1">
      <alignment horizontal="center"/>
    </xf>
    <xf numFmtId="3" fontId="7" fillId="0" borderId="26" xfId="0" applyNumberFormat="1" applyFont="1" applyBorder="1" applyAlignment="1">
      <alignment horizontal="center"/>
    </xf>
    <xf numFmtId="3" fontId="7" fillId="4" borderId="41" xfId="0" applyNumberFormat="1" applyFont="1" applyFill="1" applyBorder="1" applyAlignment="1">
      <alignment horizontal="center"/>
    </xf>
    <xf numFmtId="3" fontId="7" fillId="4" borderId="18" xfId="0" applyNumberFormat="1" applyFont="1" applyFill="1" applyBorder="1" applyAlignment="1">
      <alignment horizontal="center"/>
    </xf>
    <xf numFmtId="3" fontId="7" fillId="0" borderId="18" xfId="0" applyNumberFormat="1" applyFont="1" applyBorder="1" applyAlignment="1">
      <alignment horizontal="center"/>
    </xf>
    <xf numFmtId="0" fontId="8" fillId="11" borderId="39" xfId="0" applyFont="1" applyFill="1" applyBorder="1" applyAlignment="1">
      <alignment vertical="center"/>
    </xf>
    <xf numFmtId="3" fontId="4" fillId="3" borderId="39" xfId="0" applyNumberFormat="1" applyFont="1" applyFill="1" applyBorder="1" applyAlignment="1">
      <alignment horizontal="left"/>
    </xf>
    <xf numFmtId="3" fontId="2" fillId="3" borderId="22" xfId="0" applyNumberFormat="1" applyFont="1" applyFill="1" applyBorder="1" applyAlignment="1">
      <alignment horizontal="left"/>
    </xf>
    <xf numFmtId="4" fontId="2" fillId="0" borderId="22" xfId="0" applyNumberFormat="1" applyFont="1" applyBorder="1" applyAlignment="1">
      <alignment horizontal="center"/>
    </xf>
    <xf numFmtId="3" fontId="3" fillId="0" borderId="44" xfId="0" applyNumberFormat="1" applyFont="1" applyBorder="1" applyAlignment="1">
      <alignment horizontal="right"/>
    </xf>
    <xf numFmtId="3" fontId="7" fillId="3" borderId="39" xfId="0" applyNumberFormat="1" applyFont="1" applyFill="1" applyBorder="1" applyAlignment="1">
      <alignment horizontal="center"/>
    </xf>
    <xf numFmtId="3" fontId="7" fillId="0" borderId="40" xfId="0" applyNumberFormat="1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9" fillId="11" borderId="39" xfId="0" applyFont="1" applyFill="1" applyBorder="1" applyAlignment="1">
      <alignment horizontal="left"/>
    </xf>
    <xf numFmtId="182" fontId="8" fillId="10" borderId="17" xfId="0" applyNumberFormat="1" applyFont="1" applyFill="1" applyBorder="1" applyAlignment="1">
      <alignment horizontal="center"/>
    </xf>
    <xf numFmtId="0" fontId="9" fillId="11" borderId="41" xfId="0" applyFont="1" applyFill="1" applyBorder="1" applyAlignment="1">
      <alignment horizontal="left"/>
    </xf>
    <xf numFmtId="182" fontId="8" fillId="10" borderId="21" xfId="0" applyNumberFormat="1" applyFont="1" applyFill="1" applyBorder="1" applyAlignment="1">
      <alignment horizontal="center"/>
    </xf>
    <xf numFmtId="182" fontId="8" fillId="0" borderId="21" xfId="0" applyNumberFormat="1" applyFont="1" applyFill="1" applyBorder="1" applyAlignment="1">
      <alignment horizontal="center"/>
    </xf>
    <xf numFmtId="182" fontId="8" fillId="10" borderId="33" xfId="0" applyNumberFormat="1" applyFont="1" applyFill="1" applyBorder="1" applyAlignment="1">
      <alignment horizontal="center"/>
    </xf>
    <xf numFmtId="182" fontId="8" fillId="0" borderId="33" xfId="0" applyNumberFormat="1" applyFont="1" applyFill="1" applyBorder="1" applyAlignment="1">
      <alignment horizontal="left"/>
    </xf>
    <xf numFmtId="0" fontId="9" fillId="11" borderId="43" xfId="0" applyFont="1" applyFill="1" applyBorder="1" applyAlignment="1">
      <alignment horizontal="left"/>
    </xf>
    <xf numFmtId="0" fontId="9" fillId="11" borderId="38" xfId="0" applyFont="1" applyFill="1" applyBorder="1" applyAlignment="1">
      <alignment horizontal="center"/>
    </xf>
    <xf numFmtId="0" fontId="9" fillId="10" borderId="38" xfId="0" applyFont="1" applyFill="1" applyBorder="1" applyAlignment="1">
      <alignment horizontal="center"/>
    </xf>
    <xf numFmtId="0" fontId="9" fillId="11" borderId="44" xfId="0" applyFont="1" applyFill="1" applyBorder="1" applyAlignment="1">
      <alignment horizontal="center"/>
    </xf>
    <xf numFmtId="0" fontId="9" fillId="11" borderId="39" xfId="0" applyFont="1" applyFill="1" applyBorder="1" applyAlignment="1">
      <alignment horizontal="center"/>
    </xf>
    <xf numFmtId="181" fontId="10" fillId="3" borderId="21" xfId="0" applyNumberFormat="1" applyFont="1" applyFill="1" applyBorder="1" applyAlignment="1">
      <alignment horizontal="center"/>
    </xf>
    <xf numFmtId="0" fontId="10" fillId="3" borderId="21" xfId="0" applyFont="1" applyFill="1" applyBorder="1" applyAlignment="1">
      <alignment horizontal="left"/>
    </xf>
    <xf numFmtId="3" fontId="10" fillId="0" borderId="39" xfId="0" applyNumberFormat="1" applyFont="1" applyBorder="1" applyAlignment="1">
      <alignment horizontal="center"/>
    </xf>
    <xf numFmtId="3" fontId="10" fillId="8" borderId="22" xfId="0" applyNumberFormat="1" applyFont="1" applyFill="1" applyBorder="1" applyAlignment="1">
      <alignment horizontal="center"/>
    </xf>
    <xf numFmtId="181" fontId="10" fillId="3" borderId="25" xfId="0" applyNumberFormat="1" applyFont="1" applyFill="1" applyBorder="1" applyAlignment="1">
      <alignment horizontal="center"/>
    </xf>
    <xf numFmtId="0" fontId="10" fillId="3" borderId="25" xfId="0" applyFont="1" applyFill="1" applyBorder="1" applyAlignment="1">
      <alignment horizontal="left"/>
    </xf>
    <xf numFmtId="0" fontId="0" fillId="0" borderId="0" xfId="0" applyAlignment="1" quotePrefix="1"/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www.wps.cn/officeDocument/2023/relationships/customStorage" Target="customStorage/customStorage.xml"/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0</xdr:col>
      <xdr:colOff>28575</xdr:colOff>
      <xdr:row>6</xdr:row>
      <xdr:rowOff>19050</xdr:rowOff>
    </xdr:to>
    <xdr:pic>
      <xdr:nvPicPr>
        <xdr:cNvPr id="2" name="Imagem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584325"/>
          <a:ext cx="28575" cy="190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M388"/>
  <sheetViews>
    <sheetView workbookViewId="0">
      <selection activeCell="M3" sqref="M3"/>
    </sheetView>
  </sheetViews>
  <sheetFormatPr defaultColWidth="9" defaultRowHeight="15"/>
  <cols>
    <col min="1" max="1" width="9.57142857142857" style="1" customWidth="1"/>
    <col min="2" max="2" width="45.1428571428571" style="1" customWidth="1"/>
    <col min="3" max="3" width="4.57142857142857" style="15" customWidth="1"/>
    <col min="4" max="4" width="3.85714285714286" style="15" customWidth="1"/>
    <col min="5" max="5" width="4.57142857142857" style="15" customWidth="1"/>
    <col min="6" max="6" width="4.14285714285714" style="15" customWidth="1"/>
    <col min="7" max="7" width="4.57142857142857" style="15" customWidth="1"/>
    <col min="8" max="8" width="8.14285714285714" style="15" customWidth="1"/>
    <col min="9" max="9" width="10.8571428571429" style="15" customWidth="1"/>
    <col min="10" max="10" width="6.28571428571429" style="15" customWidth="1"/>
    <col min="11" max="11" width="1.57142857142857" style="1" customWidth="1"/>
    <col min="12" max="12" width="9.58095238095238" style="1" customWidth="1"/>
    <col min="13" max="13" width="9.15238095238095" style="1" customWidth="1"/>
  </cols>
  <sheetData>
    <row r="1" ht="31" customHeight="1" spans="1:10">
      <c r="A1" s="17" t="s">
        <v>0</v>
      </c>
      <c r="B1" s="18"/>
      <c r="C1" s="18"/>
      <c r="D1" s="18"/>
      <c r="E1" s="18"/>
      <c r="F1" s="18"/>
      <c r="G1" s="19"/>
      <c r="H1" s="20" t="s">
        <v>1</v>
      </c>
      <c r="I1" s="43" t="s">
        <v>2</v>
      </c>
      <c r="J1" s="20"/>
    </row>
    <row r="2" ht="18.75" customHeight="1" spans="1:10">
      <c r="A2" s="8" t="s">
        <v>3</v>
      </c>
      <c r="B2" s="8" t="s">
        <v>4</v>
      </c>
      <c r="C2" s="57" t="s">
        <v>5</v>
      </c>
      <c r="D2" s="57" t="s">
        <v>6</v>
      </c>
      <c r="E2" s="57" t="s">
        <v>7</v>
      </c>
      <c r="F2" s="57" t="s">
        <v>8</v>
      </c>
      <c r="G2" s="57" t="s">
        <v>9</v>
      </c>
      <c r="H2" s="57" t="s">
        <v>10</v>
      </c>
      <c r="I2" s="44" t="s">
        <v>11</v>
      </c>
      <c r="J2" s="75" t="s">
        <v>12</v>
      </c>
    </row>
    <row r="3" ht="18.75" customHeight="1" spans="1:13">
      <c r="A3" s="58" t="s">
        <v>13</v>
      </c>
      <c r="B3" s="59" t="s">
        <v>14</v>
      </c>
      <c r="C3" s="60"/>
      <c r="D3" s="61"/>
      <c r="E3" s="62">
        <v>28</v>
      </c>
      <c r="F3" s="62">
        <v>33</v>
      </c>
      <c r="G3" s="62">
        <v>38</v>
      </c>
      <c r="H3" s="63">
        <v>2</v>
      </c>
      <c r="I3" s="45">
        <v>20</v>
      </c>
      <c r="J3" s="46">
        <f>SUM(C3:H3)</f>
        <v>101</v>
      </c>
      <c r="K3" s="76"/>
      <c r="M3"/>
    </row>
    <row r="4" ht="18.75" customHeight="1" spans="1:13">
      <c r="A4" s="58" t="s">
        <v>15</v>
      </c>
      <c r="B4" s="64" t="s">
        <v>16</v>
      </c>
      <c r="C4" s="61"/>
      <c r="D4" s="61"/>
      <c r="E4" s="62"/>
      <c r="F4" s="62"/>
      <c r="G4" s="62"/>
      <c r="H4" s="61"/>
      <c r="I4" s="45">
        <v>20</v>
      </c>
      <c r="J4" s="46">
        <f>SUM(C4:H4)</f>
        <v>0</v>
      </c>
      <c r="K4" s="76"/>
      <c r="M4"/>
    </row>
    <row r="5" ht="18.75" customHeight="1" spans="1:13">
      <c r="A5" s="58" t="s">
        <v>17</v>
      </c>
      <c r="B5" s="64" t="s">
        <v>18</v>
      </c>
      <c r="C5" s="61"/>
      <c r="D5" s="62"/>
      <c r="E5" s="61"/>
      <c r="F5" s="61"/>
      <c r="G5" s="61"/>
      <c r="H5" s="61"/>
      <c r="I5" s="45">
        <v>20</v>
      </c>
      <c r="J5" s="46">
        <f>SUM(C5:H5)</f>
        <v>0</v>
      </c>
      <c r="K5" s="76"/>
      <c r="M5"/>
    </row>
    <row r="6" ht="18.75" customHeight="1" spans="1:13">
      <c r="A6" s="58" t="s">
        <v>19</v>
      </c>
      <c r="B6" s="64" t="s">
        <v>20</v>
      </c>
      <c r="C6" s="61"/>
      <c r="D6" s="62"/>
      <c r="E6" s="61"/>
      <c r="F6" s="61"/>
      <c r="G6" s="61"/>
      <c r="H6" s="61"/>
      <c r="I6" s="45">
        <v>20</v>
      </c>
      <c r="J6" s="46">
        <f>SUM(C6:H6)</f>
        <v>0</v>
      </c>
      <c r="K6" s="76"/>
      <c r="M6"/>
    </row>
    <row r="7" ht="18.75" customHeight="1" spans="1:13">
      <c r="A7" s="65" t="s">
        <v>21</v>
      </c>
      <c r="B7" s="64" t="s">
        <v>22</v>
      </c>
      <c r="C7" s="61"/>
      <c r="D7" s="61"/>
      <c r="E7" s="62">
        <v>43</v>
      </c>
      <c r="F7" s="62">
        <v>59</v>
      </c>
      <c r="G7" s="62">
        <v>78</v>
      </c>
      <c r="H7" s="61">
        <v>1</v>
      </c>
      <c r="I7" s="45">
        <v>20</v>
      </c>
      <c r="J7" s="46">
        <f>SUM(C7:H7)</f>
        <v>181</v>
      </c>
      <c r="K7" s="76"/>
      <c r="M7"/>
    </row>
    <row r="8" ht="18.75" customHeight="1" spans="1:13">
      <c r="A8" s="65" t="s">
        <v>23</v>
      </c>
      <c r="B8" s="64" t="s">
        <v>24</v>
      </c>
      <c r="C8" s="61"/>
      <c r="D8" s="61"/>
      <c r="E8" s="62">
        <v>40</v>
      </c>
      <c r="F8" s="62">
        <v>30</v>
      </c>
      <c r="G8" s="62">
        <v>43</v>
      </c>
      <c r="H8" s="61"/>
      <c r="I8" s="45">
        <v>20</v>
      </c>
      <c r="J8" s="46">
        <f>SUM(C8:H8)</f>
        <v>113</v>
      </c>
      <c r="K8" s="76"/>
      <c r="M8"/>
    </row>
    <row r="9" ht="18.75" customHeight="1" spans="1:13">
      <c r="A9" s="58" t="s">
        <v>25</v>
      </c>
      <c r="B9" s="64" t="s">
        <v>26</v>
      </c>
      <c r="C9" s="61"/>
      <c r="D9" s="62"/>
      <c r="E9" s="61"/>
      <c r="F9" s="61"/>
      <c r="G9" s="61"/>
      <c r="H9" s="61"/>
      <c r="I9" s="45">
        <v>20</v>
      </c>
      <c r="J9" s="46">
        <f>SUM(C9:H9)</f>
        <v>0</v>
      </c>
      <c r="K9" s="76"/>
      <c r="M9"/>
    </row>
    <row r="10" ht="18.75" customHeight="1" spans="1:13">
      <c r="A10" s="58" t="s">
        <v>27</v>
      </c>
      <c r="B10" s="64" t="s">
        <v>28</v>
      </c>
      <c r="C10" s="61"/>
      <c r="D10" s="62">
        <v>8</v>
      </c>
      <c r="E10" s="62">
        <v>90</v>
      </c>
      <c r="F10" s="62">
        <v>72</v>
      </c>
      <c r="G10" s="62">
        <v>54</v>
      </c>
      <c r="H10" s="61"/>
      <c r="I10" s="45">
        <v>20</v>
      </c>
      <c r="J10" s="46">
        <f>SUM(C10:H10)</f>
        <v>224</v>
      </c>
      <c r="K10" s="76"/>
      <c r="M10"/>
    </row>
    <row r="11" ht="18.75" customHeight="1" spans="1:13">
      <c r="A11" s="58" t="s">
        <v>29</v>
      </c>
      <c r="B11" s="64" t="s">
        <v>30</v>
      </c>
      <c r="C11" s="61"/>
      <c r="D11" s="62"/>
      <c r="E11" s="62"/>
      <c r="F11" s="62">
        <v>9</v>
      </c>
      <c r="G11" s="62">
        <v>9</v>
      </c>
      <c r="H11" s="61"/>
      <c r="I11" s="45">
        <v>20</v>
      </c>
      <c r="J11" s="46">
        <f>SUM(C11:H11)</f>
        <v>18</v>
      </c>
      <c r="K11" s="76"/>
      <c r="M11"/>
    </row>
    <row r="12" ht="18.75" customHeight="1" spans="1:13">
      <c r="A12" s="58" t="s">
        <v>31</v>
      </c>
      <c r="B12" s="64" t="s">
        <v>32</v>
      </c>
      <c r="C12" s="61"/>
      <c r="D12" s="61"/>
      <c r="E12" s="62"/>
      <c r="F12" s="62"/>
      <c r="G12" s="62"/>
      <c r="H12" s="62"/>
      <c r="I12" s="45">
        <v>20</v>
      </c>
      <c r="J12" s="46">
        <f>SUM(C12:H12)</f>
        <v>0</v>
      </c>
      <c r="K12" s="76"/>
      <c r="M12"/>
    </row>
    <row r="13" ht="18.75" customHeight="1" spans="1:13">
      <c r="A13" s="58" t="s">
        <v>33</v>
      </c>
      <c r="B13" s="64" t="s">
        <v>34</v>
      </c>
      <c r="C13" s="61"/>
      <c r="D13" s="61"/>
      <c r="E13" s="62"/>
      <c r="F13" s="62"/>
      <c r="G13" s="62"/>
      <c r="H13" s="61"/>
      <c r="I13" s="45">
        <v>20</v>
      </c>
      <c r="J13" s="46">
        <f>SUM(C13:H13)</f>
        <v>0</v>
      </c>
      <c r="K13" s="76"/>
      <c r="M13"/>
    </row>
    <row r="14" ht="18.75" customHeight="1" spans="1:13">
      <c r="A14" s="58" t="s">
        <v>35</v>
      </c>
      <c r="B14" s="64" t="s">
        <v>36</v>
      </c>
      <c r="C14" s="61"/>
      <c r="D14" s="61"/>
      <c r="E14" s="62"/>
      <c r="F14" s="62"/>
      <c r="G14" s="62"/>
      <c r="H14" s="61"/>
      <c r="I14" s="45">
        <v>20</v>
      </c>
      <c r="J14" s="46">
        <f>SUM(C14:H14)</f>
        <v>0</v>
      </c>
      <c r="K14" s="76"/>
      <c r="M14"/>
    </row>
    <row r="15" ht="18.75" customHeight="1" spans="1:13">
      <c r="A15" s="58" t="s">
        <v>37</v>
      </c>
      <c r="B15" s="64" t="s">
        <v>38</v>
      </c>
      <c r="C15" s="61"/>
      <c r="D15" s="61"/>
      <c r="E15" s="62">
        <v>9</v>
      </c>
      <c r="F15" s="62">
        <v>9</v>
      </c>
      <c r="G15" s="62">
        <v>20</v>
      </c>
      <c r="H15" s="61">
        <v>15</v>
      </c>
      <c r="I15" s="45">
        <v>20</v>
      </c>
      <c r="J15" s="46">
        <f>SUM(C15:H15)</f>
        <v>53</v>
      </c>
      <c r="K15" s="76"/>
      <c r="M15"/>
    </row>
    <row r="16" ht="18.75" customHeight="1" spans="1:13">
      <c r="A16" s="58" t="s">
        <v>39</v>
      </c>
      <c r="B16" s="59" t="s">
        <v>38</v>
      </c>
      <c r="C16" s="61"/>
      <c r="D16" s="62">
        <v>17</v>
      </c>
      <c r="E16" s="62">
        <f>18+15</f>
        <v>33</v>
      </c>
      <c r="F16" s="62">
        <f>16+8</f>
        <v>24</v>
      </c>
      <c r="G16" s="62">
        <v>10</v>
      </c>
      <c r="H16" s="61"/>
      <c r="I16" s="45">
        <v>20</v>
      </c>
      <c r="J16" s="46">
        <f>SUM(C16:H16)</f>
        <v>84</v>
      </c>
      <c r="K16" s="76"/>
      <c r="M16"/>
    </row>
    <row r="17" ht="18.75" customHeight="1" spans="1:13">
      <c r="A17" s="58" t="s">
        <v>40</v>
      </c>
      <c r="B17" s="64" t="s">
        <v>41</v>
      </c>
      <c r="C17" s="61"/>
      <c r="D17" s="62"/>
      <c r="E17" s="61"/>
      <c r="F17" s="61"/>
      <c r="G17" s="61"/>
      <c r="H17" s="61"/>
      <c r="I17" s="45">
        <v>20</v>
      </c>
      <c r="J17" s="46">
        <f>SUM(C17:H17)</f>
        <v>0</v>
      </c>
      <c r="K17" s="76"/>
      <c r="M17"/>
    </row>
    <row r="18" ht="18.75" customHeight="1" spans="1:13">
      <c r="A18" s="58" t="s">
        <v>42</v>
      </c>
      <c r="B18" s="64" t="s">
        <v>43</v>
      </c>
      <c r="C18" s="62"/>
      <c r="D18" s="61"/>
      <c r="E18" s="61"/>
      <c r="F18" s="61"/>
      <c r="G18" s="61"/>
      <c r="H18" s="61"/>
      <c r="I18" s="45">
        <v>20</v>
      </c>
      <c r="J18" s="46">
        <f>SUM(C18:H18)</f>
        <v>0</v>
      </c>
      <c r="K18" s="76"/>
      <c r="M18"/>
    </row>
    <row r="19" ht="18.75" customHeight="1" spans="1:13">
      <c r="A19" s="58" t="s">
        <v>44</v>
      </c>
      <c r="B19" s="64" t="s">
        <v>45</v>
      </c>
      <c r="C19" s="61"/>
      <c r="D19" s="61">
        <v>9</v>
      </c>
      <c r="E19" s="62">
        <v>7</v>
      </c>
      <c r="F19" s="62">
        <v>3</v>
      </c>
      <c r="G19" s="62">
        <v>28</v>
      </c>
      <c r="H19" s="62"/>
      <c r="I19" s="45">
        <v>20</v>
      </c>
      <c r="J19" s="46">
        <f>SUM(C19:H19)</f>
        <v>47</v>
      </c>
      <c r="K19" s="76"/>
      <c r="M19"/>
    </row>
    <row r="20" ht="18.75" customHeight="1" spans="1:13">
      <c r="A20" s="65" t="s">
        <v>46</v>
      </c>
      <c r="B20" s="66" t="s">
        <v>47</v>
      </c>
      <c r="C20" s="61"/>
      <c r="D20" s="61"/>
      <c r="E20" s="62">
        <v>6</v>
      </c>
      <c r="F20" s="62">
        <v>1</v>
      </c>
      <c r="G20" s="62"/>
      <c r="H20" s="61"/>
      <c r="I20" s="45">
        <v>20</v>
      </c>
      <c r="J20" s="46">
        <f>SUM(C20:H20)</f>
        <v>7</v>
      </c>
      <c r="K20" s="76"/>
      <c r="M20"/>
    </row>
    <row r="21" ht="18.75" customHeight="1" spans="1:13">
      <c r="A21" s="65" t="s">
        <v>48</v>
      </c>
      <c r="B21" s="66" t="s">
        <v>49</v>
      </c>
      <c r="C21" s="61"/>
      <c r="D21" s="61"/>
      <c r="E21" s="62"/>
      <c r="F21" s="62"/>
      <c r="G21" s="62">
        <v>1</v>
      </c>
      <c r="H21" s="61"/>
      <c r="I21" s="45">
        <v>20</v>
      </c>
      <c r="J21" s="46">
        <f>SUM(C21:H21)</f>
        <v>1</v>
      </c>
      <c r="K21" s="76"/>
      <c r="M21"/>
    </row>
    <row r="22" ht="18.75" customHeight="1" spans="1:13">
      <c r="A22" s="58" t="s">
        <v>50</v>
      </c>
      <c r="B22" s="59" t="s">
        <v>51</v>
      </c>
      <c r="C22" s="61"/>
      <c r="D22" s="61"/>
      <c r="E22" s="62"/>
      <c r="F22" s="62"/>
      <c r="G22" s="62"/>
      <c r="H22" s="61"/>
      <c r="I22" s="45">
        <v>20</v>
      </c>
      <c r="J22" s="46">
        <f>SUM(C22:H22)</f>
        <v>0</v>
      </c>
      <c r="K22" s="76"/>
      <c r="M22"/>
    </row>
    <row r="23" ht="18.75" customHeight="1" spans="1:13">
      <c r="A23" s="58" t="s">
        <v>52</v>
      </c>
      <c r="B23" s="59" t="s">
        <v>53</v>
      </c>
      <c r="C23" s="61"/>
      <c r="D23" s="61"/>
      <c r="E23" s="62">
        <v>67</v>
      </c>
      <c r="F23" s="62">
        <v>4</v>
      </c>
      <c r="G23" s="62">
        <v>30</v>
      </c>
      <c r="H23" s="61"/>
      <c r="I23" s="45">
        <v>20</v>
      </c>
      <c r="J23" s="46">
        <f>SUM(C23:H23)</f>
        <v>101</v>
      </c>
      <c r="K23" s="76"/>
      <c r="M23"/>
    </row>
    <row r="24" ht="18.75" customHeight="1" spans="1:13">
      <c r="A24" s="58" t="s">
        <v>54</v>
      </c>
      <c r="B24" s="59" t="s">
        <v>55</v>
      </c>
      <c r="C24" s="61"/>
      <c r="D24" s="61"/>
      <c r="E24" s="62">
        <f>20+40</f>
        <v>60</v>
      </c>
      <c r="F24" s="62">
        <f>58+45</f>
        <v>103</v>
      </c>
      <c r="G24" s="62">
        <f>38+41</f>
        <v>79</v>
      </c>
      <c r="H24" s="61"/>
      <c r="I24" s="45">
        <v>20</v>
      </c>
      <c r="J24" s="46">
        <f>SUM(C24:H24)</f>
        <v>242</v>
      </c>
      <c r="K24" s="76"/>
      <c r="M24"/>
    </row>
    <row r="25" ht="18.75" customHeight="1" spans="1:13">
      <c r="A25" s="58" t="s">
        <v>56</v>
      </c>
      <c r="B25" s="64" t="s">
        <v>57</v>
      </c>
      <c r="C25" s="61"/>
      <c r="D25" s="61"/>
      <c r="E25" s="62">
        <v>67</v>
      </c>
      <c r="F25" s="62">
        <v>47</v>
      </c>
      <c r="G25" s="62">
        <v>44</v>
      </c>
      <c r="H25" s="61"/>
      <c r="I25" s="45">
        <v>20</v>
      </c>
      <c r="J25" s="46">
        <f>SUM(C25:H25)</f>
        <v>158</v>
      </c>
      <c r="K25" s="76"/>
      <c r="M25"/>
    </row>
    <row r="26" ht="18.75" customHeight="1" spans="1:13">
      <c r="A26" s="58" t="s">
        <v>58</v>
      </c>
      <c r="B26" s="64" t="s">
        <v>59</v>
      </c>
      <c r="C26" s="61"/>
      <c r="D26" s="61"/>
      <c r="E26" s="62">
        <v>83</v>
      </c>
      <c r="F26" s="62"/>
      <c r="G26" s="62"/>
      <c r="H26" s="61"/>
      <c r="I26" s="45">
        <v>20</v>
      </c>
      <c r="J26" s="46">
        <f>SUM(C26:H26)</f>
        <v>83</v>
      </c>
      <c r="K26" s="76"/>
      <c r="M26"/>
    </row>
    <row r="27" customFormat="1" ht="18.75" customHeight="1" spans="1:12">
      <c r="A27" s="58" t="s">
        <v>60</v>
      </c>
      <c r="B27" s="64" t="s">
        <v>61</v>
      </c>
      <c r="C27" s="61"/>
      <c r="D27" s="61"/>
      <c r="E27" s="62"/>
      <c r="F27" s="62"/>
      <c r="G27" s="62"/>
      <c r="H27" s="61"/>
      <c r="I27" s="45">
        <v>20</v>
      </c>
      <c r="J27" s="46">
        <f>SUM(C27:H27)</f>
        <v>0</v>
      </c>
      <c r="K27" s="76"/>
      <c r="L27" s="1"/>
    </row>
    <row r="28" ht="18.75" customHeight="1" spans="1:13">
      <c r="A28" s="58" t="s">
        <v>62</v>
      </c>
      <c r="B28" s="64" t="s">
        <v>63</v>
      </c>
      <c r="C28" s="61"/>
      <c r="D28" s="61"/>
      <c r="E28" s="62"/>
      <c r="F28" s="62"/>
      <c r="G28" s="62"/>
      <c r="H28" s="61"/>
      <c r="I28" s="45">
        <v>20</v>
      </c>
      <c r="J28" s="46">
        <f>SUM(C28:H28)</f>
        <v>0</v>
      </c>
      <c r="K28" s="76"/>
      <c r="M28"/>
    </row>
    <row r="29" ht="18.75" customHeight="1" spans="1:13">
      <c r="A29" s="58" t="s">
        <v>64</v>
      </c>
      <c r="B29" s="64" t="s">
        <v>65</v>
      </c>
      <c r="C29" s="61"/>
      <c r="D29" s="61"/>
      <c r="E29" s="62">
        <v>136</v>
      </c>
      <c r="F29" s="62">
        <v>224</v>
      </c>
      <c r="G29" s="62">
        <v>136</v>
      </c>
      <c r="H29" s="61"/>
      <c r="I29" s="45">
        <v>20</v>
      </c>
      <c r="J29" s="46">
        <f>SUM(C29:H29)</f>
        <v>496</v>
      </c>
      <c r="K29" s="76"/>
      <c r="M29"/>
    </row>
    <row r="30" ht="18.75" customHeight="1" spans="1:13">
      <c r="A30" s="58" t="s">
        <v>66</v>
      </c>
      <c r="B30" s="67" t="s">
        <v>67</v>
      </c>
      <c r="C30" s="61"/>
      <c r="D30" s="62"/>
      <c r="E30" s="62"/>
      <c r="F30" s="62"/>
      <c r="G30" s="62"/>
      <c r="H30" s="61"/>
      <c r="I30" s="45">
        <v>20</v>
      </c>
      <c r="J30" s="46">
        <f>SUM(C30:H30)</f>
        <v>0</v>
      </c>
      <c r="K30" s="76"/>
      <c r="M30"/>
    </row>
    <row r="31" ht="18.75" customHeight="1" spans="1:13">
      <c r="A31" s="58" t="s">
        <v>68</v>
      </c>
      <c r="B31" s="64" t="s">
        <v>69</v>
      </c>
      <c r="C31" s="61"/>
      <c r="D31" s="61"/>
      <c r="E31" s="62"/>
      <c r="F31" s="62"/>
      <c r="G31" s="62"/>
      <c r="H31" s="61"/>
      <c r="I31" s="45">
        <v>20</v>
      </c>
      <c r="J31" s="46">
        <f>SUM(C31:H31)</f>
        <v>0</v>
      </c>
      <c r="K31" s="76"/>
      <c r="M31"/>
    </row>
    <row r="32" ht="18.75" customHeight="1" spans="1:13">
      <c r="A32" s="58" t="s">
        <v>70</v>
      </c>
      <c r="B32" s="64" t="s">
        <v>71</v>
      </c>
      <c r="C32" s="61"/>
      <c r="D32" s="61"/>
      <c r="E32" s="62">
        <v>52</v>
      </c>
      <c r="F32" s="62">
        <v>5</v>
      </c>
      <c r="G32" s="62"/>
      <c r="H32" s="61"/>
      <c r="I32" s="45">
        <v>20</v>
      </c>
      <c r="J32" s="46">
        <f>SUM(C32:H32)</f>
        <v>57</v>
      </c>
      <c r="K32" s="76"/>
      <c r="M32"/>
    </row>
    <row r="33" ht="18.75" customHeight="1" spans="1:13">
      <c r="A33" s="58" t="s">
        <v>72</v>
      </c>
      <c r="B33" s="59" t="s">
        <v>73</v>
      </c>
      <c r="C33" s="61"/>
      <c r="D33" s="61"/>
      <c r="E33" s="62"/>
      <c r="F33" s="62"/>
      <c r="G33" s="62"/>
      <c r="H33" s="61"/>
      <c r="I33" s="45">
        <v>20</v>
      </c>
      <c r="J33" s="46">
        <f>SUM(C33:H33)</f>
        <v>0</v>
      </c>
      <c r="K33" s="76"/>
      <c r="M33"/>
    </row>
    <row r="34" ht="18.75" customHeight="1" spans="1:13">
      <c r="A34" s="58" t="s">
        <v>74</v>
      </c>
      <c r="B34" s="64" t="s">
        <v>75</v>
      </c>
      <c r="C34" s="61"/>
      <c r="D34" s="61"/>
      <c r="E34" s="62">
        <v>26</v>
      </c>
      <c r="F34" s="62">
        <v>11</v>
      </c>
      <c r="G34" s="62">
        <v>12</v>
      </c>
      <c r="H34" s="61"/>
      <c r="I34" s="45">
        <v>20</v>
      </c>
      <c r="J34" s="46">
        <f>SUM(C34:H34)</f>
        <v>49</v>
      </c>
      <c r="K34" s="76"/>
      <c r="M34"/>
    </row>
    <row r="35" ht="18.75" customHeight="1" spans="1:13">
      <c r="A35" s="58" t="s">
        <v>76</v>
      </c>
      <c r="B35" s="64" t="s">
        <v>77</v>
      </c>
      <c r="C35" s="61"/>
      <c r="D35" s="61"/>
      <c r="E35" s="62">
        <v>38</v>
      </c>
      <c r="F35" s="62">
        <v>17</v>
      </c>
      <c r="G35" s="62">
        <v>5</v>
      </c>
      <c r="H35" s="61"/>
      <c r="I35" s="45">
        <v>20</v>
      </c>
      <c r="J35" s="46">
        <f>SUM(C35:H35)</f>
        <v>60</v>
      </c>
      <c r="K35" s="76"/>
      <c r="M35"/>
    </row>
    <row r="36" ht="18.75" customHeight="1" spans="1:13">
      <c r="A36" s="68" t="s">
        <v>78</v>
      </c>
      <c r="B36" s="59" t="s">
        <v>79</v>
      </c>
      <c r="C36" s="60"/>
      <c r="D36" s="60"/>
      <c r="E36" s="69"/>
      <c r="F36" s="62"/>
      <c r="G36" s="62"/>
      <c r="H36" s="61"/>
      <c r="I36" s="45">
        <v>20</v>
      </c>
      <c r="J36" s="46">
        <f>SUM(C36:H36)</f>
        <v>0</v>
      </c>
      <c r="K36" s="76"/>
      <c r="M36"/>
    </row>
    <row r="37" ht="18.75" customHeight="1" spans="1:13">
      <c r="A37" s="68" t="s">
        <v>80</v>
      </c>
      <c r="B37" s="59" t="s">
        <v>81</v>
      </c>
      <c r="C37" s="69">
        <v>120</v>
      </c>
      <c r="D37" s="60"/>
      <c r="E37" s="60"/>
      <c r="F37" s="61"/>
      <c r="G37" s="61"/>
      <c r="H37" s="61"/>
      <c r="I37" s="45">
        <v>20</v>
      </c>
      <c r="J37" s="46">
        <f>SUM(C37:H37)</f>
        <v>120</v>
      </c>
      <c r="K37" s="76"/>
      <c r="M37"/>
    </row>
    <row r="38" ht="18.75" customHeight="1" spans="1:13">
      <c r="A38" s="58" t="s">
        <v>82</v>
      </c>
      <c r="B38" s="64" t="s">
        <v>83</v>
      </c>
      <c r="C38" s="61"/>
      <c r="D38" s="61"/>
      <c r="E38" s="62"/>
      <c r="F38" s="62"/>
      <c r="G38" s="62"/>
      <c r="H38" s="61"/>
      <c r="I38" s="45">
        <v>20</v>
      </c>
      <c r="J38" s="46">
        <f>SUM(C38:H38)</f>
        <v>0</v>
      </c>
      <c r="K38" s="76"/>
      <c r="M38"/>
    </row>
    <row r="39" ht="18.75" customHeight="1" spans="1:13">
      <c r="A39" s="70" t="s">
        <v>84</v>
      </c>
      <c r="B39" s="71" t="s">
        <v>85</v>
      </c>
      <c r="C39" s="72"/>
      <c r="D39" s="61"/>
      <c r="E39" s="61"/>
      <c r="F39" s="61"/>
      <c r="G39" s="61"/>
      <c r="H39" s="61"/>
      <c r="I39" s="45">
        <v>20</v>
      </c>
      <c r="J39" s="46">
        <f>SUM(C39:H39)</f>
        <v>0</v>
      </c>
      <c r="K39" s="76"/>
      <c r="M39"/>
    </row>
    <row r="40" ht="18.75" customHeight="1" spans="1:13">
      <c r="A40" s="58" t="s">
        <v>86</v>
      </c>
      <c r="B40" s="64" t="s">
        <v>55</v>
      </c>
      <c r="C40" s="61"/>
      <c r="D40" s="61"/>
      <c r="E40" s="62">
        <v>13</v>
      </c>
      <c r="F40" s="62">
        <v>16</v>
      </c>
      <c r="G40" s="62">
        <v>22</v>
      </c>
      <c r="H40" s="61"/>
      <c r="I40" s="45">
        <v>20</v>
      </c>
      <c r="J40" s="46">
        <f>SUM(C40:H40)</f>
        <v>51</v>
      </c>
      <c r="K40" s="76"/>
      <c r="M40"/>
    </row>
    <row r="41" ht="18.75" customHeight="1" spans="1:13">
      <c r="A41" s="58" t="s">
        <v>87</v>
      </c>
      <c r="B41" s="59" t="s">
        <v>88</v>
      </c>
      <c r="C41" s="61"/>
      <c r="D41" s="61"/>
      <c r="E41" s="62"/>
      <c r="F41" s="62"/>
      <c r="G41" s="62"/>
      <c r="H41" s="61"/>
      <c r="I41" s="45">
        <v>20</v>
      </c>
      <c r="J41" s="46">
        <f>SUM(C41:H41)</f>
        <v>0</v>
      </c>
      <c r="K41" s="76"/>
      <c r="M41"/>
    </row>
    <row r="42" ht="18.75" customHeight="1" spans="1:13">
      <c r="A42" s="70" t="s">
        <v>89</v>
      </c>
      <c r="B42" s="71" t="s">
        <v>90</v>
      </c>
      <c r="C42" s="72"/>
      <c r="D42" s="61">
        <v>17</v>
      </c>
      <c r="E42" s="61">
        <v>28</v>
      </c>
      <c r="F42" s="61"/>
      <c r="G42" s="61"/>
      <c r="H42" s="61"/>
      <c r="I42" s="45">
        <v>20</v>
      </c>
      <c r="J42" s="46">
        <f>SUM(C42:H42)</f>
        <v>45</v>
      </c>
      <c r="K42" s="76"/>
      <c r="M42"/>
    </row>
    <row r="43" ht="18.75" customHeight="1" spans="1:13">
      <c r="A43" s="68" t="s">
        <v>91</v>
      </c>
      <c r="B43" s="59" t="s">
        <v>92</v>
      </c>
      <c r="C43" s="73"/>
      <c r="D43" s="60"/>
      <c r="E43" s="60"/>
      <c r="F43" s="61"/>
      <c r="G43" s="61"/>
      <c r="H43" s="61"/>
      <c r="I43" s="45">
        <v>20</v>
      </c>
      <c r="J43" s="46">
        <f>SUM(C43:H43)</f>
        <v>0</v>
      </c>
      <c r="K43" s="76"/>
      <c r="M43"/>
    </row>
    <row r="44" ht="18.75" customHeight="1" spans="1:13">
      <c r="A44" s="68" t="s">
        <v>93</v>
      </c>
      <c r="B44" s="59" t="s">
        <v>94</v>
      </c>
      <c r="C44" s="73"/>
      <c r="D44" s="60"/>
      <c r="E44" s="60"/>
      <c r="F44" s="61"/>
      <c r="G44" s="61"/>
      <c r="H44" s="61"/>
      <c r="I44" s="45">
        <v>20</v>
      </c>
      <c r="J44" s="46">
        <f>SUM(C44:H44)</f>
        <v>0</v>
      </c>
      <c r="K44" s="76"/>
      <c r="M44"/>
    </row>
    <row r="45" ht="18.75" customHeight="1" spans="1:13">
      <c r="A45" s="58" t="s">
        <v>95</v>
      </c>
      <c r="B45" s="64" t="s">
        <v>96</v>
      </c>
      <c r="C45" s="61"/>
      <c r="D45" s="61"/>
      <c r="E45" s="62">
        <v>29</v>
      </c>
      <c r="F45" s="62">
        <v>5</v>
      </c>
      <c r="G45" s="62"/>
      <c r="H45" s="62"/>
      <c r="I45" s="45">
        <v>20</v>
      </c>
      <c r="J45" s="46">
        <f>SUM(C45:H45)</f>
        <v>34</v>
      </c>
      <c r="K45" s="76"/>
      <c r="M45"/>
    </row>
    <row r="46" ht="18.75" customHeight="1" spans="1:13">
      <c r="A46" s="58" t="s">
        <v>97</v>
      </c>
      <c r="B46" s="64" t="s">
        <v>98</v>
      </c>
      <c r="C46" s="61"/>
      <c r="D46" s="61"/>
      <c r="E46" s="62"/>
      <c r="F46" s="62"/>
      <c r="G46" s="62"/>
      <c r="H46" s="61"/>
      <c r="I46" s="45">
        <v>20</v>
      </c>
      <c r="J46" s="46">
        <f>SUM(C46:H46)</f>
        <v>0</v>
      </c>
      <c r="K46" s="76"/>
      <c r="M46"/>
    </row>
    <row r="47" ht="18.75" customHeight="1" spans="1:13">
      <c r="A47" s="58" t="s">
        <v>99</v>
      </c>
      <c r="B47" s="64" t="s">
        <v>100</v>
      </c>
      <c r="C47" s="61"/>
      <c r="D47" s="61"/>
      <c r="E47" s="62"/>
      <c r="F47" s="62"/>
      <c r="G47" s="62"/>
      <c r="H47" s="61"/>
      <c r="I47" s="45">
        <v>20</v>
      </c>
      <c r="J47" s="46">
        <f>SUM(C47:H47)</f>
        <v>0</v>
      </c>
      <c r="K47" s="76"/>
      <c r="M47"/>
    </row>
    <row r="48" ht="18.75" customHeight="1" spans="1:13">
      <c r="A48" s="58" t="s">
        <v>101</v>
      </c>
      <c r="B48" s="59" t="s">
        <v>102</v>
      </c>
      <c r="C48" s="61"/>
      <c r="D48" s="61"/>
      <c r="E48" s="62">
        <v>49</v>
      </c>
      <c r="F48" s="62">
        <v>36</v>
      </c>
      <c r="G48" s="62">
        <v>60</v>
      </c>
      <c r="H48" s="61"/>
      <c r="I48" s="45">
        <v>20</v>
      </c>
      <c r="J48" s="46">
        <f>SUM(C48:H48)</f>
        <v>145</v>
      </c>
      <c r="K48" s="76"/>
      <c r="M48"/>
    </row>
    <row r="49" ht="18.75" customHeight="1" spans="1:13">
      <c r="A49" s="58" t="s">
        <v>103</v>
      </c>
      <c r="B49" s="59" t="s">
        <v>104</v>
      </c>
      <c r="C49" s="61"/>
      <c r="D49" s="61"/>
      <c r="E49" s="62">
        <v>41</v>
      </c>
      <c r="F49" s="62"/>
      <c r="G49" s="62">
        <v>9</v>
      </c>
      <c r="H49" s="61"/>
      <c r="I49" s="45">
        <v>20</v>
      </c>
      <c r="J49" s="46">
        <f>SUM(C49:H49)</f>
        <v>50</v>
      </c>
      <c r="K49" s="76"/>
      <c r="M49"/>
    </row>
    <row r="50" ht="18.75" customHeight="1" spans="1:13">
      <c r="A50" s="68" t="s">
        <v>105</v>
      </c>
      <c r="B50" s="59" t="s">
        <v>106</v>
      </c>
      <c r="C50" s="69"/>
      <c r="D50" s="60"/>
      <c r="E50" s="60"/>
      <c r="F50" s="61"/>
      <c r="G50" s="61"/>
      <c r="H50" s="61"/>
      <c r="I50" s="45">
        <v>20</v>
      </c>
      <c r="J50" s="46">
        <f>SUM(C50:H50)</f>
        <v>0</v>
      </c>
      <c r="K50" s="76"/>
      <c r="M50"/>
    </row>
    <row r="51" ht="18.75" customHeight="1" spans="1:13">
      <c r="A51" s="58" t="s">
        <v>107</v>
      </c>
      <c r="B51" s="59" t="s">
        <v>108</v>
      </c>
      <c r="C51" s="61"/>
      <c r="D51" s="61"/>
      <c r="E51" s="62">
        <v>6</v>
      </c>
      <c r="F51" s="62">
        <v>1</v>
      </c>
      <c r="G51" s="62">
        <v>2</v>
      </c>
      <c r="H51" s="61"/>
      <c r="I51" s="45">
        <v>20</v>
      </c>
      <c r="J51" s="46">
        <f>SUM(C51:H51)</f>
        <v>9</v>
      </c>
      <c r="K51" s="76"/>
      <c r="M51"/>
    </row>
    <row r="52" ht="18.75" customHeight="1" spans="1:13">
      <c r="A52" s="58" t="s">
        <v>109</v>
      </c>
      <c r="B52" s="59" t="s">
        <v>110</v>
      </c>
      <c r="C52" s="61"/>
      <c r="D52" s="61"/>
      <c r="E52" s="62">
        <v>5</v>
      </c>
      <c r="F52" s="62">
        <v>4</v>
      </c>
      <c r="G52" s="62"/>
      <c r="H52" s="61"/>
      <c r="I52" s="45">
        <v>20</v>
      </c>
      <c r="J52" s="46">
        <f>SUM(C52:H52)</f>
        <v>9</v>
      </c>
      <c r="K52" s="76"/>
      <c r="M52"/>
    </row>
    <row r="53" ht="18.75" customHeight="1" spans="1:13">
      <c r="A53" s="58" t="s">
        <v>111</v>
      </c>
      <c r="B53" s="59" t="s">
        <v>112</v>
      </c>
      <c r="C53" s="61"/>
      <c r="D53" s="61"/>
      <c r="E53" s="62">
        <v>9</v>
      </c>
      <c r="F53" s="62">
        <v>7</v>
      </c>
      <c r="G53" s="62"/>
      <c r="H53" s="61"/>
      <c r="I53" s="45">
        <v>20</v>
      </c>
      <c r="J53" s="46">
        <f>SUM(C53:H53)</f>
        <v>16</v>
      </c>
      <c r="K53" s="76"/>
      <c r="M53"/>
    </row>
    <row r="54" ht="18.75" customHeight="1" spans="1:13">
      <c r="A54" s="58" t="s">
        <v>113</v>
      </c>
      <c r="B54" s="59" t="s">
        <v>114</v>
      </c>
      <c r="C54" s="61"/>
      <c r="D54" s="61"/>
      <c r="E54" s="62">
        <v>5</v>
      </c>
      <c r="F54" s="62"/>
      <c r="G54" s="62"/>
      <c r="H54" s="61"/>
      <c r="I54" s="45">
        <v>20</v>
      </c>
      <c r="J54" s="46">
        <f>SUM(C54:H54)</f>
        <v>5</v>
      </c>
      <c r="K54" s="76"/>
      <c r="M54"/>
    </row>
    <row r="55" ht="18.75" customHeight="1" spans="1:13">
      <c r="A55" s="65" t="s">
        <v>115</v>
      </c>
      <c r="B55" s="64" t="s">
        <v>116</v>
      </c>
      <c r="C55" s="61"/>
      <c r="D55" s="61"/>
      <c r="E55" s="62">
        <v>98</v>
      </c>
      <c r="F55" s="62">
        <v>14</v>
      </c>
      <c r="G55" s="62">
        <v>56</v>
      </c>
      <c r="H55" s="61"/>
      <c r="I55" s="45">
        <v>20</v>
      </c>
      <c r="J55" s="46">
        <f>SUM(C55:H55)</f>
        <v>168</v>
      </c>
      <c r="K55" s="76"/>
      <c r="M55"/>
    </row>
    <row r="56" ht="18.75" customHeight="1" spans="1:13">
      <c r="A56" s="65" t="s">
        <v>117</v>
      </c>
      <c r="B56" s="64" t="s">
        <v>118</v>
      </c>
      <c r="C56" s="61"/>
      <c r="D56" s="61"/>
      <c r="E56" s="62">
        <v>12</v>
      </c>
      <c r="F56" s="62"/>
      <c r="G56" s="62">
        <v>47</v>
      </c>
      <c r="H56" s="61"/>
      <c r="I56" s="45">
        <v>20</v>
      </c>
      <c r="J56" s="46">
        <f>SUM(C56:H56)</f>
        <v>59</v>
      </c>
      <c r="K56" s="76"/>
      <c r="M56"/>
    </row>
    <row r="57" ht="18.75" customHeight="1" spans="1:13">
      <c r="A57" s="65" t="s">
        <v>119</v>
      </c>
      <c r="B57" s="64" t="s">
        <v>120</v>
      </c>
      <c r="C57" s="61"/>
      <c r="D57" s="61"/>
      <c r="E57" s="62">
        <v>29</v>
      </c>
      <c r="F57" s="62">
        <v>12</v>
      </c>
      <c r="G57" s="62">
        <v>19</v>
      </c>
      <c r="H57" s="61"/>
      <c r="I57" s="45">
        <v>20</v>
      </c>
      <c r="J57" s="46">
        <f>SUM(C57:H57)</f>
        <v>60</v>
      </c>
      <c r="K57" s="76"/>
      <c r="M57"/>
    </row>
    <row r="58" ht="18.75" customHeight="1" spans="1:13">
      <c r="A58" s="58" t="s">
        <v>121</v>
      </c>
      <c r="B58" s="59" t="s">
        <v>122</v>
      </c>
      <c r="C58" s="61"/>
      <c r="D58" s="61"/>
      <c r="E58" s="62">
        <v>6</v>
      </c>
      <c r="F58" s="62">
        <v>2</v>
      </c>
      <c r="G58" s="62">
        <v>5</v>
      </c>
      <c r="H58" s="61"/>
      <c r="I58" s="45">
        <v>20</v>
      </c>
      <c r="J58" s="46">
        <f>SUM(C58:H58)</f>
        <v>13</v>
      </c>
      <c r="K58" s="76"/>
      <c r="M58"/>
    </row>
    <row r="59" ht="18.75" customHeight="1" spans="1:13">
      <c r="A59" s="70" t="s">
        <v>123</v>
      </c>
      <c r="B59" s="71" t="s">
        <v>124</v>
      </c>
      <c r="C59" s="74"/>
      <c r="D59" s="61"/>
      <c r="E59" s="61"/>
      <c r="F59" s="61"/>
      <c r="G59" s="61"/>
      <c r="H59" s="61"/>
      <c r="I59" s="45">
        <v>20</v>
      </c>
      <c r="J59" s="46">
        <f>SUM(C59:H59)</f>
        <v>0</v>
      </c>
      <c r="K59" s="76"/>
      <c r="M59"/>
    </row>
    <row r="60" ht="18.75" customHeight="1" spans="1:13">
      <c r="A60" s="58" t="s">
        <v>125</v>
      </c>
      <c r="B60" s="59" t="s">
        <v>126</v>
      </c>
      <c r="C60" s="61"/>
      <c r="D60" s="61"/>
      <c r="E60" s="62"/>
      <c r="F60" s="62"/>
      <c r="G60" s="62"/>
      <c r="H60" s="61"/>
      <c r="I60" s="45">
        <v>20</v>
      </c>
      <c r="J60" s="46">
        <f>SUM(C60:H60)</f>
        <v>0</v>
      </c>
      <c r="K60" s="76"/>
      <c r="M60"/>
    </row>
    <row r="61" ht="18.75" customHeight="1" spans="1:13">
      <c r="A61" s="65" t="s">
        <v>127</v>
      </c>
      <c r="B61" s="64" t="s">
        <v>128</v>
      </c>
      <c r="C61" s="61"/>
      <c r="D61" s="61"/>
      <c r="E61" s="62"/>
      <c r="F61" s="62"/>
      <c r="G61" s="62"/>
      <c r="H61" s="61"/>
      <c r="I61" s="45">
        <v>20</v>
      </c>
      <c r="J61" s="46">
        <f>SUM(C61:H61)</f>
        <v>0</v>
      </c>
      <c r="K61" s="76"/>
      <c r="M61"/>
    </row>
    <row r="62" ht="18.75" customHeight="1" spans="1:13">
      <c r="A62" s="65" t="s">
        <v>129</v>
      </c>
      <c r="B62" s="64" t="s">
        <v>130</v>
      </c>
      <c r="C62" s="61"/>
      <c r="D62" s="61"/>
      <c r="E62" s="62"/>
      <c r="F62" s="62"/>
      <c r="G62" s="62"/>
      <c r="H62" s="61"/>
      <c r="I62" s="45">
        <v>20</v>
      </c>
      <c r="J62" s="46">
        <f>SUM(C62:H62)</f>
        <v>0</v>
      </c>
      <c r="K62" s="76"/>
      <c r="M62"/>
    </row>
    <row r="63" ht="18.75" customHeight="1" spans="1:13">
      <c r="A63" s="58" t="s">
        <v>131</v>
      </c>
      <c r="B63" s="64" t="s">
        <v>132</v>
      </c>
      <c r="C63" s="61"/>
      <c r="D63" s="61"/>
      <c r="E63" s="62">
        <f>7+6</f>
        <v>13</v>
      </c>
      <c r="F63" s="62">
        <v>4</v>
      </c>
      <c r="G63" s="62">
        <v>11</v>
      </c>
      <c r="H63" s="61"/>
      <c r="I63" s="45">
        <v>20</v>
      </c>
      <c r="J63" s="46">
        <f>SUM(C63:H63)</f>
        <v>28</v>
      </c>
      <c r="K63" s="76"/>
      <c r="M63"/>
    </row>
    <row r="64" ht="18.75" customHeight="1" spans="1:13">
      <c r="A64" s="58" t="s">
        <v>133</v>
      </c>
      <c r="B64" s="64" t="s">
        <v>134</v>
      </c>
      <c r="C64" s="61"/>
      <c r="D64" s="61"/>
      <c r="E64" s="62"/>
      <c r="F64" s="62"/>
      <c r="G64" s="62"/>
      <c r="H64" s="61"/>
      <c r="I64" s="45">
        <v>20</v>
      </c>
      <c r="J64" s="46">
        <f>SUM(C64:H64)</f>
        <v>0</v>
      </c>
      <c r="K64" s="76"/>
      <c r="M64"/>
    </row>
    <row r="65" ht="18.75" customHeight="1" spans="1:13">
      <c r="A65" s="58" t="s">
        <v>135</v>
      </c>
      <c r="B65" s="59" t="s">
        <v>136</v>
      </c>
      <c r="C65" s="61"/>
      <c r="D65" s="61"/>
      <c r="E65" s="62"/>
      <c r="F65" s="62"/>
      <c r="G65" s="62"/>
      <c r="H65" s="61"/>
      <c r="I65" s="45">
        <v>20</v>
      </c>
      <c r="J65" s="46">
        <f>SUM(C65:H65)</f>
        <v>0</v>
      </c>
      <c r="K65" s="76"/>
      <c r="M65"/>
    </row>
    <row r="66" ht="18.75" customHeight="1" spans="1:13">
      <c r="A66" s="58" t="s">
        <v>137</v>
      </c>
      <c r="B66" s="59" t="s">
        <v>138</v>
      </c>
      <c r="C66" s="60"/>
      <c r="D66" s="61"/>
      <c r="E66" s="62"/>
      <c r="F66" s="62"/>
      <c r="G66" s="62"/>
      <c r="H66" s="61"/>
      <c r="I66" s="45">
        <v>20</v>
      </c>
      <c r="J66" s="46">
        <f>SUM(C66:H66)</f>
        <v>0</v>
      </c>
      <c r="K66" s="76"/>
      <c r="M66"/>
    </row>
    <row r="67" ht="18.75" customHeight="1" spans="1:13">
      <c r="A67" s="58" t="s">
        <v>139</v>
      </c>
      <c r="B67" s="64" t="s">
        <v>140</v>
      </c>
      <c r="C67" s="61"/>
      <c r="D67" s="61"/>
      <c r="E67" s="62"/>
      <c r="F67" s="62"/>
      <c r="G67" s="62"/>
      <c r="H67" s="61"/>
      <c r="I67" s="45">
        <v>20</v>
      </c>
      <c r="J67" s="46">
        <f>SUM(C67:H67)</f>
        <v>0</v>
      </c>
      <c r="K67" s="76"/>
      <c r="M67"/>
    </row>
    <row r="68" ht="18.75" customHeight="1" spans="1:13">
      <c r="A68" s="58" t="s">
        <v>141</v>
      </c>
      <c r="B68" s="64" t="s">
        <v>142</v>
      </c>
      <c r="C68" s="61"/>
      <c r="D68" s="61"/>
      <c r="E68" s="62">
        <v>30</v>
      </c>
      <c r="F68" s="62">
        <v>14</v>
      </c>
      <c r="G68" s="62">
        <v>10</v>
      </c>
      <c r="H68" s="61"/>
      <c r="I68" s="45">
        <v>20</v>
      </c>
      <c r="J68" s="46">
        <f>SUM(C68:H68)</f>
        <v>54</v>
      </c>
      <c r="K68" s="76"/>
      <c r="M68"/>
    </row>
    <row r="69" ht="18.75" customHeight="1" spans="1:13">
      <c r="A69" s="58" t="s">
        <v>143</v>
      </c>
      <c r="B69" s="59" t="s">
        <v>144</v>
      </c>
      <c r="C69" s="61"/>
      <c r="D69" s="61"/>
      <c r="E69" s="62">
        <v>8</v>
      </c>
      <c r="F69" s="62">
        <f>28+9</f>
        <v>37</v>
      </c>
      <c r="G69" s="62">
        <f>2+7</f>
        <v>9</v>
      </c>
      <c r="H69" s="61"/>
      <c r="I69" s="45">
        <v>20</v>
      </c>
      <c r="J69" s="46">
        <f>SUM(C69:H69)</f>
        <v>54</v>
      </c>
      <c r="K69" s="76"/>
      <c r="M69"/>
    </row>
    <row r="70" ht="18.75" customHeight="1" spans="1:13">
      <c r="A70" s="58" t="s">
        <v>145</v>
      </c>
      <c r="B70" s="59" t="s">
        <v>146</v>
      </c>
      <c r="C70" s="61"/>
      <c r="D70" s="61"/>
      <c r="E70" s="62">
        <v>3</v>
      </c>
      <c r="F70" s="62"/>
      <c r="G70" s="62">
        <v>1</v>
      </c>
      <c r="H70" s="61"/>
      <c r="I70" s="45">
        <v>20</v>
      </c>
      <c r="J70" s="46">
        <f>SUM(C70:H70)</f>
        <v>4</v>
      </c>
      <c r="K70" s="76"/>
      <c r="M70"/>
    </row>
    <row r="71" ht="18.75" customHeight="1" spans="1:13">
      <c r="A71" s="58" t="s">
        <v>147</v>
      </c>
      <c r="B71" s="59" t="s">
        <v>148</v>
      </c>
      <c r="C71" s="60"/>
      <c r="D71" s="61"/>
      <c r="E71" s="62">
        <f>15+14+14</f>
        <v>43</v>
      </c>
      <c r="F71" s="62">
        <f>11+11</f>
        <v>22</v>
      </c>
      <c r="G71" s="62">
        <f>10+7</f>
        <v>17</v>
      </c>
      <c r="H71" s="61"/>
      <c r="I71" s="45">
        <v>20</v>
      </c>
      <c r="J71" s="46">
        <f>SUM(C71:H71)</f>
        <v>82</v>
      </c>
      <c r="K71" s="76"/>
      <c r="M71"/>
    </row>
    <row r="72" ht="18.75" customHeight="1" spans="1:13">
      <c r="A72" s="58" t="s">
        <v>149</v>
      </c>
      <c r="B72" s="59" t="s">
        <v>132</v>
      </c>
      <c r="C72" s="60"/>
      <c r="D72" s="61"/>
      <c r="E72" s="62">
        <v>1</v>
      </c>
      <c r="F72" s="62">
        <v>4</v>
      </c>
      <c r="G72" s="62">
        <v>11</v>
      </c>
      <c r="H72" s="61"/>
      <c r="I72" s="45">
        <v>20</v>
      </c>
      <c r="J72" s="46">
        <f>SUM(C72:H72)</f>
        <v>16</v>
      </c>
      <c r="K72" s="76"/>
      <c r="M72"/>
    </row>
    <row r="73" ht="18.75" customHeight="1" spans="1:13">
      <c r="A73" s="68" t="s">
        <v>150</v>
      </c>
      <c r="B73" s="59" t="s">
        <v>151</v>
      </c>
      <c r="C73" s="73"/>
      <c r="D73" s="60"/>
      <c r="E73" s="60"/>
      <c r="F73" s="61"/>
      <c r="G73" s="61"/>
      <c r="H73" s="61"/>
      <c r="I73" s="45">
        <v>20</v>
      </c>
      <c r="J73" s="46">
        <f>SUM(C73:H73)</f>
        <v>0</v>
      </c>
      <c r="K73" s="76"/>
      <c r="M73"/>
    </row>
    <row r="74" ht="18.75" customHeight="1" spans="1:13">
      <c r="A74" s="68" t="s">
        <v>152</v>
      </c>
      <c r="B74" s="59" t="s">
        <v>153</v>
      </c>
      <c r="C74" s="73"/>
      <c r="D74" s="60"/>
      <c r="E74" s="60"/>
      <c r="F74" s="61"/>
      <c r="G74" s="61"/>
      <c r="H74" s="61"/>
      <c r="I74" s="45">
        <v>20</v>
      </c>
      <c r="J74" s="46">
        <f>SUM(C74:H74)</f>
        <v>0</v>
      </c>
      <c r="K74" s="76"/>
      <c r="M74"/>
    </row>
    <row r="75" ht="18.75" customHeight="1" spans="1:13">
      <c r="A75" s="68" t="s">
        <v>154</v>
      </c>
      <c r="B75" s="59" t="s">
        <v>155</v>
      </c>
      <c r="C75" s="73"/>
      <c r="D75" s="60"/>
      <c r="E75" s="60"/>
      <c r="F75" s="61"/>
      <c r="G75" s="61"/>
      <c r="H75" s="61"/>
      <c r="I75" s="45">
        <v>20</v>
      </c>
      <c r="J75" s="46">
        <f>SUM(C75:H75)</f>
        <v>0</v>
      </c>
      <c r="K75" s="76"/>
      <c r="M75"/>
    </row>
    <row r="76" ht="18.75" customHeight="1" spans="1:13">
      <c r="A76" s="58" t="s">
        <v>156</v>
      </c>
      <c r="B76" s="59" t="s">
        <v>157</v>
      </c>
      <c r="C76" s="60"/>
      <c r="D76" s="62">
        <v>18</v>
      </c>
      <c r="E76" s="62"/>
      <c r="F76" s="62"/>
      <c r="G76" s="62"/>
      <c r="H76" s="61">
        <v>64</v>
      </c>
      <c r="I76" s="45">
        <v>20</v>
      </c>
      <c r="J76" s="46">
        <f>SUM(C76:H76)</f>
        <v>82</v>
      </c>
      <c r="K76" s="76"/>
      <c r="M76"/>
    </row>
    <row r="77" ht="18.75" customHeight="1" spans="1:13">
      <c r="A77" s="58" t="s">
        <v>158</v>
      </c>
      <c r="B77" s="64" t="s">
        <v>159</v>
      </c>
      <c r="C77" s="61"/>
      <c r="D77" s="61"/>
      <c r="E77" s="62"/>
      <c r="F77" s="62"/>
      <c r="G77" s="62">
        <v>22</v>
      </c>
      <c r="H77" s="61"/>
      <c r="I77" s="45">
        <v>20</v>
      </c>
      <c r="J77" s="46">
        <f>SUM(C77:H77)</f>
        <v>22</v>
      </c>
      <c r="K77" s="76"/>
      <c r="M77"/>
    </row>
    <row r="78" ht="18.75" customHeight="1" spans="1:13">
      <c r="A78" s="58" t="s">
        <v>160</v>
      </c>
      <c r="B78" s="64" t="s">
        <v>41</v>
      </c>
      <c r="C78" s="61"/>
      <c r="D78" s="61"/>
      <c r="E78" s="62"/>
      <c r="F78" s="62"/>
      <c r="G78" s="62"/>
      <c r="H78" s="61"/>
      <c r="I78" s="45">
        <v>20</v>
      </c>
      <c r="J78" s="46">
        <f>SUM(C78:H78)</f>
        <v>0</v>
      </c>
      <c r="K78" s="76"/>
      <c r="M78"/>
    </row>
    <row r="79" ht="18.75" customHeight="1" spans="1:13">
      <c r="A79" s="58" t="s">
        <v>161</v>
      </c>
      <c r="B79" s="66" t="s">
        <v>162</v>
      </c>
      <c r="C79" s="61"/>
      <c r="D79" s="61"/>
      <c r="E79" s="62"/>
      <c r="F79" s="62"/>
      <c r="G79" s="62"/>
      <c r="H79" s="61"/>
      <c r="I79" s="45">
        <v>20</v>
      </c>
      <c r="J79" s="46">
        <f>SUM(C79:H79)</f>
        <v>0</v>
      </c>
      <c r="K79" s="76"/>
      <c r="M79"/>
    </row>
    <row r="80" ht="18.75" customHeight="1" spans="1:13">
      <c r="A80" s="58" t="s">
        <v>163</v>
      </c>
      <c r="B80" s="66" t="s">
        <v>164</v>
      </c>
      <c r="C80" s="61"/>
      <c r="D80" s="61"/>
      <c r="E80" s="62"/>
      <c r="F80" s="62"/>
      <c r="G80" s="62"/>
      <c r="H80" s="61"/>
      <c r="I80" s="45">
        <v>20</v>
      </c>
      <c r="J80" s="46">
        <f>SUM(C80:H80)</f>
        <v>0</v>
      </c>
      <c r="K80" s="76"/>
      <c r="M80"/>
    </row>
    <row r="81" ht="18.75" customHeight="1" spans="1:13">
      <c r="A81" s="58" t="s">
        <v>165</v>
      </c>
      <c r="B81" s="64" t="s">
        <v>26</v>
      </c>
      <c r="C81" s="61"/>
      <c r="D81" s="61"/>
      <c r="E81" s="62"/>
      <c r="F81" s="62"/>
      <c r="G81" s="62"/>
      <c r="H81" s="61"/>
      <c r="I81" s="45">
        <v>20</v>
      </c>
      <c r="J81" s="46">
        <f>SUM(C81:H81)</f>
        <v>0</v>
      </c>
      <c r="K81" s="76"/>
      <c r="M81"/>
    </row>
    <row r="82" ht="18.75" customHeight="1" spans="1:13">
      <c r="A82" s="27" t="s">
        <v>166</v>
      </c>
      <c r="B82" s="28" t="s">
        <v>167</v>
      </c>
      <c r="C82" s="29"/>
      <c r="D82" s="30"/>
      <c r="E82" s="62">
        <v>1</v>
      </c>
      <c r="F82" s="62">
        <v>31</v>
      </c>
      <c r="G82" s="62">
        <v>8</v>
      </c>
      <c r="H82" s="62">
        <v>28</v>
      </c>
      <c r="I82" s="45">
        <v>20</v>
      </c>
      <c r="J82" s="46">
        <f>SUM(C82:H82)</f>
        <v>68</v>
      </c>
      <c r="K82" s="76"/>
      <c r="M82"/>
    </row>
    <row r="83" ht="18.75" customHeight="1" spans="1:13">
      <c r="A83" s="70" t="s">
        <v>168</v>
      </c>
      <c r="B83" s="71" t="s">
        <v>169</v>
      </c>
      <c r="C83" s="72"/>
      <c r="D83" s="61"/>
      <c r="E83" s="61"/>
      <c r="F83" s="61"/>
      <c r="G83" s="61"/>
      <c r="H83" s="61"/>
      <c r="I83" s="45">
        <v>20</v>
      </c>
      <c r="J83" s="46">
        <f>SUM(C83:H83)</f>
        <v>0</v>
      </c>
      <c r="K83" s="76"/>
      <c r="M83"/>
    </row>
    <row r="84" ht="18.75" customHeight="1" spans="1:13">
      <c r="A84" s="70" t="s">
        <v>170</v>
      </c>
      <c r="B84" s="71" t="s">
        <v>171</v>
      </c>
      <c r="C84" s="72"/>
      <c r="D84" s="61"/>
      <c r="E84" s="61"/>
      <c r="F84" s="61"/>
      <c r="G84" s="61"/>
      <c r="H84" s="61"/>
      <c r="I84" s="45">
        <v>20</v>
      </c>
      <c r="J84" s="46">
        <f>SUM(C84:H84)</f>
        <v>0</v>
      </c>
      <c r="K84" s="76"/>
      <c r="M84"/>
    </row>
    <row r="85" ht="18.75" customHeight="1" spans="1:13">
      <c r="A85" s="58" t="s">
        <v>172</v>
      </c>
      <c r="B85" s="59" t="s">
        <v>173</v>
      </c>
      <c r="C85" s="72"/>
      <c r="D85" s="61"/>
      <c r="E85" s="61"/>
      <c r="F85" s="61"/>
      <c r="G85" s="61"/>
      <c r="H85" s="61"/>
      <c r="I85" s="45">
        <v>20</v>
      </c>
      <c r="J85" s="46">
        <f>SUM(C85:H85)</f>
        <v>0</v>
      </c>
      <c r="K85" s="76"/>
      <c r="M85"/>
    </row>
    <row r="86" ht="18.75" customHeight="1" spans="1:13">
      <c r="A86" s="58" t="s">
        <v>174</v>
      </c>
      <c r="B86" s="59" t="s">
        <v>175</v>
      </c>
      <c r="C86" s="72">
        <v>23</v>
      </c>
      <c r="D86" s="61"/>
      <c r="E86" s="61"/>
      <c r="F86" s="61"/>
      <c r="G86" s="61"/>
      <c r="H86" s="61"/>
      <c r="I86" s="45">
        <v>20</v>
      </c>
      <c r="J86" s="46">
        <f>SUM(C86:H86)</f>
        <v>23</v>
      </c>
      <c r="K86" s="76"/>
      <c r="M86"/>
    </row>
    <row r="87" ht="18.75" customHeight="1" spans="1:13">
      <c r="A87" s="58" t="s">
        <v>174</v>
      </c>
      <c r="B87" s="59" t="s">
        <v>176</v>
      </c>
      <c r="C87" s="72">
        <v>18</v>
      </c>
      <c r="D87" s="61"/>
      <c r="E87" s="61"/>
      <c r="F87" s="61"/>
      <c r="G87" s="61"/>
      <c r="H87" s="61"/>
      <c r="I87" s="45">
        <v>20</v>
      </c>
      <c r="J87" s="46">
        <f>SUM(C87:H87)</f>
        <v>18</v>
      </c>
      <c r="K87" s="76"/>
      <c r="M87"/>
    </row>
    <row r="88" ht="18.75" customHeight="1" spans="1:13">
      <c r="A88" s="58" t="s">
        <v>174</v>
      </c>
      <c r="B88" s="59" t="s">
        <v>177</v>
      </c>
      <c r="C88" s="72">
        <v>14</v>
      </c>
      <c r="D88" s="61"/>
      <c r="E88" s="61"/>
      <c r="F88" s="61"/>
      <c r="G88" s="61"/>
      <c r="H88" s="61"/>
      <c r="I88" s="45">
        <v>20</v>
      </c>
      <c r="J88" s="46">
        <f>SUM(C88:H88)</f>
        <v>14</v>
      </c>
      <c r="K88" s="76"/>
      <c r="M88"/>
    </row>
    <row r="89" ht="18.75" customHeight="1" spans="1:13">
      <c r="A89" s="58" t="s">
        <v>178</v>
      </c>
      <c r="B89" s="59" t="s">
        <v>179</v>
      </c>
      <c r="C89" s="72">
        <v>28</v>
      </c>
      <c r="D89" s="61"/>
      <c r="E89" s="61"/>
      <c r="F89" s="61"/>
      <c r="G89" s="61"/>
      <c r="H89" s="61"/>
      <c r="I89" s="45">
        <v>20</v>
      </c>
      <c r="J89" s="46">
        <f>SUM(C89:H89)</f>
        <v>28</v>
      </c>
      <c r="K89" s="76"/>
      <c r="M89"/>
    </row>
    <row r="90" ht="18.75" customHeight="1" spans="1:13">
      <c r="A90" s="58" t="s">
        <v>178</v>
      </c>
      <c r="B90" s="59" t="s">
        <v>180</v>
      </c>
      <c r="C90" s="72">
        <v>15</v>
      </c>
      <c r="D90" s="61"/>
      <c r="E90" s="61"/>
      <c r="F90" s="61"/>
      <c r="G90" s="61"/>
      <c r="H90" s="61"/>
      <c r="I90" s="45">
        <v>20</v>
      </c>
      <c r="J90" s="46">
        <f>SUM(C90:H90)</f>
        <v>15</v>
      </c>
      <c r="K90" s="76"/>
      <c r="M90"/>
    </row>
    <row r="91" ht="18.75" customHeight="1" spans="1:13">
      <c r="A91" s="58" t="s">
        <v>178</v>
      </c>
      <c r="B91" s="59" t="s">
        <v>181</v>
      </c>
      <c r="C91" s="72">
        <v>1</v>
      </c>
      <c r="D91" s="61"/>
      <c r="E91" s="61"/>
      <c r="F91" s="61"/>
      <c r="G91" s="61"/>
      <c r="H91" s="61"/>
      <c r="I91" s="45">
        <v>20</v>
      </c>
      <c r="J91" s="46">
        <f>SUM(C91:H91)</f>
        <v>1</v>
      </c>
      <c r="K91" s="76"/>
      <c r="M91"/>
    </row>
    <row r="92" ht="18.75" customHeight="1" spans="1:13">
      <c r="A92" s="58" t="s">
        <v>182</v>
      </c>
      <c r="B92" s="59" t="s">
        <v>183</v>
      </c>
      <c r="C92" s="72">
        <v>31</v>
      </c>
      <c r="D92" s="61"/>
      <c r="E92" s="61"/>
      <c r="F92" s="61"/>
      <c r="G92" s="61"/>
      <c r="H92" s="61"/>
      <c r="I92" s="45">
        <v>20</v>
      </c>
      <c r="J92" s="46">
        <f>SUM(C92:H92)</f>
        <v>31</v>
      </c>
      <c r="K92" s="76"/>
      <c r="M92"/>
    </row>
    <row r="93" ht="18.75" customHeight="1" spans="1:13">
      <c r="A93" s="58" t="s">
        <v>184</v>
      </c>
      <c r="B93" s="64" t="s">
        <v>185</v>
      </c>
      <c r="C93" s="61"/>
      <c r="D93" s="61"/>
      <c r="E93" s="62"/>
      <c r="F93" s="62"/>
      <c r="G93" s="62"/>
      <c r="H93" s="61"/>
      <c r="I93" s="45">
        <v>20</v>
      </c>
      <c r="J93" s="46">
        <f>SUM(C93:H93)</f>
        <v>0</v>
      </c>
      <c r="K93" s="76"/>
      <c r="M93"/>
    </row>
    <row r="94" ht="18.75" customHeight="1" spans="1:13">
      <c r="A94" s="58" t="s">
        <v>186</v>
      </c>
      <c r="B94" s="64" t="s">
        <v>187</v>
      </c>
      <c r="C94" s="61"/>
      <c r="D94" s="61"/>
      <c r="E94" s="62">
        <v>13</v>
      </c>
      <c r="F94" s="62">
        <v>8</v>
      </c>
      <c r="G94" s="62">
        <v>10</v>
      </c>
      <c r="H94" s="62">
        <v>13</v>
      </c>
      <c r="I94" s="45">
        <v>20</v>
      </c>
      <c r="J94" s="46">
        <f>SUM(C94:H94)</f>
        <v>44</v>
      </c>
      <c r="K94" s="76"/>
      <c r="M94"/>
    </row>
    <row r="95" ht="18.75" customHeight="1" spans="1:13">
      <c r="A95" s="58" t="s">
        <v>188</v>
      </c>
      <c r="B95" s="67" t="s">
        <v>189</v>
      </c>
      <c r="C95" s="61"/>
      <c r="D95" s="61"/>
      <c r="E95" s="62"/>
      <c r="F95" s="62"/>
      <c r="G95" s="62"/>
      <c r="H95" s="61"/>
      <c r="I95" s="45">
        <v>20</v>
      </c>
      <c r="J95" s="46">
        <f>SUM(C95:H95)</f>
        <v>0</v>
      </c>
      <c r="K95" s="76"/>
      <c r="M95"/>
    </row>
    <row r="96" ht="18.75" customHeight="1" spans="1:13">
      <c r="A96" s="58" t="s">
        <v>190</v>
      </c>
      <c r="B96" s="67" t="s">
        <v>191</v>
      </c>
      <c r="C96" s="61"/>
      <c r="D96" s="61"/>
      <c r="E96" s="62">
        <v>10</v>
      </c>
      <c r="F96" s="62">
        <v>12</v>
      </c>
      <c r="G96" s="62">
        <v>23</v>
      </c>
      <c r="H96" s="61"/>
      <c r="I96" s="45">
        <v>20</v>
      </c>
      <c r="J96" s="46">
        <f>SUM(C96:H96)</f>
        <v>45</v>
      </c>
      <c r="K96" s="76"/>
      <c r="M96"/>
    </row>
    <row r="97" ht="18.75" customHeight="1" spans="1:13">
      <c r="A97" s="58" t="s">
        <v>192</v>
      </c>
      <c r="B97" s="64" t="s">
        <v>126</v>
      </c>
      <c r="C97" s="61"/>
      <c r="D97" s="61"/>
      <c r="E97" s="62">
        <f>30+30</f>
        <v>60</v>
      </c>
      <c r="F97" s="62">
        <f>3+1</f>
        <v>4</v>
      </c>
      <c r="G97" s="62"/>
      <c r="H97" s="61"/>
      <c r="I97" s="45">
        <v>20</v>
      </c>
      <c r="J97" s="46">
        <f>SUM(C97:H97)</f>
        <v>64</v>
      </c>
      <c r="K97" s="76"/>
      <c r="M97"/>
    </row>
    <row r="98" ht="18.75" customHeight="1" spans="1:13">
      <c r="A98" s="58" t="s">
        <v>193</v>
      </c>
      <c r="B98" s="64" t="s">
        <v>194</v>
      </c>
      <c r="C98" s="61"/>
      <c r="D98" s="61"/>
      <c r="E98" s="62"/>
      <c r="F98" s="62"/>
      <c r="G98" s="62"/>
      <c r="H98" s="61"/>
      <c r="I98" s="45">
        <v>20</v>
      </c>
      <c r="J98" s="46">
        <f>SUM(C98:H98)</f>
        <v>0</v>
      </c>
      <c r="K98" s="76"/>
      <c r="M98"/>
    </row>
    <row r="99" ht="18.75" customHeight="1" spans="1:13">
      <c r="A99" s="58" t="s">
        <v>195</v>
      </c>
      <c r="B99" s="64" t="s">
        <v>196</v>
      </c>
      <c r="C99" s="61"/>
      <c r="D99" s="61"/>
      <c r="E99" s="62"/>
      <c r="F99" s="62"/>
      <c r="G99" s="62"/>
      <c r="H99" s="61"/>
      <c r="I99" s="45">
        <v>20</v>
      </c>
      <c r="J99" s="46">
        <f>SUM(C99:H99)</f>
        <v>0</v>
      </c>
      <c r="K99" s="76"/>
      <c r="M99"/>
    </row>
    <row r="100" ht="18.75" customHeight="1" spans="1:13">
      <c r="A100" s="58" t="s">
        <v>197</v>
      </c>
      <c r="B100" s="64" t="s">
        <v>198</v>
      </c>
      <c r="C100" s="61"/>
      <c r="D100" s="61"/>
      <c r="E100" s="62"/>
      <c r="F100" s="62"/>
      <c r="G100" s="62"/>
      <c r="H100" s="61"/>
      <c r="I100" s="45">
        <v>20</v>
      </c>
      <c r="J100" s="46">
        <f>SUM(C100:H100)</f>
        <v>0</v>
      </c>
      <c r="K100" s="76"/>
      <c r="M100"/>
    </row>
    <row r="101" ht="18.75" customHeight="1" spans="1:13">
      <c r="A101" s="58" t="s">
        <v>199</v>
      </c>
      <c r="B101" s="64" t="s">
        <v>200</v>
      </c>
      <c r="C101" s="61"/>
      <c r="D101" s="61"/>
      <c r="E101" s="62">
        <v>35</v>
      </c>
      <c r="F101" s="62">
        <v>1</v>
      </c>
      <c r="G101" s="62"/>
      <c r="H101" s="61"/>
      <c r="I101" s="45">
        <v>20</v>
      </c>
      <c r="J101" s="46">
        <f>SUM(C101:H101)</f>
        <v>36</v>
      </c>
      <c r="K101" s="76"/>
      <c r="M101"/>
    </row>
    <row r="102" ht="18.75" customHeight="1" spans="1:13">
      <c r="A102" s="58" t="s">
        <v>201</v>
      </c>
      <c r="B102" s="64" t="s">
        <v>202</v>
      </c>
      <c r="C102" s="61"/>
      <c r="D102" s="61"/>
      <c r="E102" s="62"/>
      <c r="F102" s="62"/>
      <c r="G102" s="62"/>
      <c r="H102" s="61"/>
      <c r="I102" s="45">
        <v>20</v>
      </c>
      <c r="J102" s="46">
        <f>SUM(C102:H102)</f>
        <v>0</v>
      </c>
      <c r="K102" s="76"/>
      <c r="M102"/>
    </row>
    <row r="103" ht="18.75" customHeight="1" spans="1:13">
      <c r="A103" s="58" t="s">
        <v>203</v>
      </c>
      <c r="B103" s="64" t="s">
        <v>204</v>
      </c>
      <c r="C103" s="61"/>
      <c r="D103" s="61"/>
      <c r="E103" s="62"/>
      <c r="F103" s="62"/>
      <c r="G103" s="62"/>
      <c r="H103" s="61"/>
      <c r="I103" s="45">
        <v>20</v>
      </c>
      <c r="J103" s="46">
        <f>SUM(C103:H103)</f>
        <v>0</v>
      </c>
      <c r="K103" s="76"/>
      <c r="M103"/>
    </row>
    <row r="104" ht="18.75" customHeight="1" spans="1:13">
      <c r="A104" s="58" t="s">
        <v>205</v>
      </c>
      <c r="B104" s="64" t="s">
        <v>159</v>
      </c>
      <c r="C104" s="61"/>
      <c r="D104" s="73"/>
      <c r="E104" s="61"/>
      <c r="F104" s="61"/>
      <c r="G104" s="61"/>
      <c r="H104" s="61"/>
      <c r="I104" s="45">
        <v>20</v>
      </c>
      <c r="J104" s="46">
        <f>SUM(C104:H104)</f>
        <v>0</v>
      </c>
      <c r="K104" s="76"/>
      <c r="M104"/>
    </row>
    <row r="105" ht="18.75" customHeight="1" spans="1:13">
      <c r="A105" s="68" t="s">
        <v>206</v>
      </c>
      <c r="B105" s="59" t="s">
        <v>207</v>
      </c>
      <c r="C105" s="73"/>
      <c r="D105" s="60"/>
      <c r="E105" s="60"/>
      <c r="F105" s="61"/>
      <c r="G105" s="61"/>
      <c r="H105" s="61"/>
      <c r="I105" s="45">
        <v>20</v>
      </c>
      <c r="J105" s="46">
        <f>SUM(C105:H105)</f>
        <v>0</v>
      </c>
      <c r="K105" s="76"/>
      <c r="L105" s="52"/>
      <c r="M105"/>
    </row>
    <row r="106" ht="18.75" customHeight="1" spans="1:13">
      <c r="A106" s="68" t="s">
        <v>208</v>
      </c>
      <c r="B106" s="59" t="s">
        <v>209</v>
      </c>
      <c r="C106" s="73"/>
      <c r="D106" s="60"/>
      <c r="E106" s="60"/>
      <c r="F106" s="61"/>
      <c r="G106" s="61"/>
      <c r="H106" s="61"/>
      <c r="I106" s="45">
        <v>20</v>
      </c>
      <c r="J106" s="46">
        <f>SUM(C106:H106)</f>
        <v>0</v>
      </c>
      <c r="K106" s="76"/>
      <c r="L106" s="52"/>
      <c r="M106"/>
    </row>
    <row r="107" ht="18.75" customHeight="1" spans="1:13">
      <c r="A107" s="68" t="s">
        <v>210</v>
      </c>
      <c r="B107" s="59" t="s">
        <v>211</v>
      </c>
      <c r="C107" s="73"/>
      <c r="D107" s="60"/>
      <c r="E107" s="60"/>
      <c r="F107" s="61"/>
      <c r="G107" s="61"/>
      <c r="H107" s="61"/>
      <c r="I107" s="45">
        <v>20</v>
      </c>
      <c r="J107" s="46">
        <f>SUM(C107:H107)</f>
        <v>0</v>
      </c>
      <c r="K107" s="76"/>
      <c r="M107"/>
    </row>
    <row r="108" ht="18.75" customHeight="1" spans="1:13">
      <c r="A108" s="68" t="s">
        <v>212</v>
      </c>
      <c r="B108" s="59" t="s">
        <v>213</v>
      </c>
      <c r="C108" s="73"/>
      <c r="D108" s="60"/>
      <c r="E108" s="60"/>
      <c r="F108" s="61"/>
      <c r="G108" s="61"/>
      <c r="H108" s="61"/>
      <c r="I108" s="45">
        <v>20</v>
      </c>
      <c r="J108" s="46">
        <f>SUM(C108:H108)</f>
        <v>0</v>
      </c>
      <c r="K108" s="76"/>
      <c r="M108"/>
    </row>
    <row r="109" ht="18.75" customHeight="1" spans="1:13">
      <c r="A109" s="58" t="s">
        <v>214</v>
      </c>
      <c r="B109" s="64" t="s">
        <v>215</v>
      </c>
      <c r="C109" s="61"/>
      <c r="D109" s="60"/>
      <c r="E109" s="62"/>
      <c r="F109" s="62"/>
      <c r="G109" s="62"/>
      <c r="H109" s="62"/>
      <c r="I109" s="45">
        <v>20</v>
      </c>
      <c r="J109" s="46">
        <f>SUM(C109:H109)</f>
        <v>0</v>
      </c>
      <c r="K109" s="76"/>
      <c r="M109"/>
    </row>
    <row r="110" ht="18.75" customHeight="1" spans="1:13">
      <c r="A110" s="68" t="s">
        <v>216</v>
      </c>
      <c r="B110" s="59" t="s">
        <v>217</v>
      </c>
      <c r="C110" s="73"/>
      <c r="D110" s="60"/>
      <c r="E110" s="60"/>
      <c r="F110" s="61"/>
      <c r="G110" s="61"/>
      <c r="H110" s="61"/>
      <c r="I110" s="45">
        <v>20</v>
      </c>
      <c r="J110" s="46">
        <f>SUM(C110:H110)</f>
        <v>0</v>
      </c>
      <c r="K110" s="76"/>
      <c r="M110"/>
    </row>
    <row r="111" ht="18.75" customHeight="1" spans="1:13">
      <c r="A111" s="58" t="s">
        <v>218</v>
      </c>
      <c r="B111" s="64" t="s">
        <v>219</v>
      </c>
      <c r="C111" s="61"/>
      <c r="D111" s="60"/>
      <c r="E111" s="62"/>
      <c r="F111" s="62"/>
      <c r="G111" s="62"/>
      <c r="H111" s="62"/>
      <c r="I111" s="45">
        <v>20</v>
      </c>
      <c r="J111" s="46">
        <f>SUM(C111:H111)</f>
        <v>0</v>
      </c>
      <c r="K111" s="76"/>
      <c r="M111"/>
    </row>
    <row r="112" ht="18.75" customHeight="1" spans="1:13">
      <c r="A112" s="58" t="s">
        <v>220</v>
      </c>
      <c r="B112" s="71" t="s">
        <v>221</v>
      </c>
      <c r="C112" s="61"/>
      <c r="D112" s="61"/>
      <c r="E112" s="62">
        <v>10</v>
      </c>
      <c r="F112" s="62"/>
      <c r="G112" s="62">
        <v>63</v>
      </c>
      <c r="H112" s="62"/>
      <c r="I112" s="45">
        <v>20</v>
      </c>
      <c r="J112" s="46">
        <f>SUM(C112:H112)</f>
        <v>73</v>
      </c>
      <c r="K112" s="76"/>
      <c r="M112"/>
    </row>
    <row r="113" ht="18.75" customHeight="1" spans="1:13">
      <c r="A113" s="58" t="s">
        <v>222</v>
      </c>
      <c r="B113" s="59" t="s">
        <v>223</v>
      </c>
      <c r="C113" s="60"/>
      <c r="D113" s="62"/>
      <c r="E113" s="62">
        <v>8</v>
      </c>
      <c r="F113" s="62">
        <f>19+8</f>
        <v>27</v>
      </c>
      <c r="G113" s="62">
        <v>18</v>
      </c>
      <c r="H113" s="61"/>
      <c r="I113" s="45">
        <v>20</v>
      </c>
      <c r="J113" s="46">
        <f>SUM(C113:H113)</f>
        <v>53</v>
      </c>
      <c r="K113" s="76"/>
      <c r="M113"/>
    </row>
    <row r="114" ht="18.75" customHeight="1" spans="1:13">
      <c r="A114" s="58" t="s">
        <v>224</v>
      </c>
      <c r="B114" s="59" t="s">
        <v>225</v>
      </c>
      <c r="C114" s="60"/>
      <c r="D114" s="62">
        <f>1+48</f>
        <v>49</v>
      </c>
      <c r="E114" s="62">
        <f>22+38</f>
        <v>60</v>
      </c>
      <c r="F114" s="62">
        <v>12</v>
      </c>
      <c r="G114" s="62">
        <f>3+1</f>
        <v>4</v>
      </c>
      <c r="H114" s="61"/>
      <c r="I114" s="45">
        <v>20</v>
      </c>
      <c r="J114" s="46">
        <f>SUM(C114:H114)</f>
        <v>125</v>
      </c>
      <c r="K114" s="76"/>
      <c r="M114"/>
    </row>
    <row r="115" ht="18.75" customHeight="1" spans="1:13">
      <c r="A115" s="58" t="s">
        <v>226</v>
      </c>
      <c r="B115" s="59" t="s">
        <v>227</v>
      </c>
      <c r="C115" s="60"/>
      <c r="D115" s="61"/>
      <c r="E115" s="62">
        <v>29</v>
      </c>
      <c r="F115" s="62"/>
      <c r="G115" s="62">
        <v>2</v>
      </c>
      <c r="H115" s="61">
        <v>71</v>
      </c>
      <c r="I115" s="45">
        <v>20</v>
      </c>
      <c r="J115" s="46">
        <f>SUM(C115:H115)</f>
        <v>102</v>
      </c>
      <c r="K115" s="76"/>
      <c r="M115"/>
    </row>
    <row r="116" ht="18.75" customHeight="1" spans="1:13">
      <c r="A116" s="58" t="s">
        <v>228</v>
      </c>
      <c r="B116" s="64" t="s">
        <v>229</v>
      </c>
      <c r="C116" s="61"/>
      <c r="D116" s="60"/>
      <c r="E116" s="62">
        <v>8</v>
      </c>
      <c r="F116" s="62">
        <v>1</v>
      </c>
      <c r="G116" s="62"/>
      <c r="H116" s="62">
        <v>15</v>
      </c>
      <c r="I116" s="45">
        <v>20</v>
      </c>
      <c r="J116" s="46">
        <f>SUM(C116:H116)</f>
        <v>24</v>
      </c>
      <c r="K116" s="76"/>
      <c r="M116"/>
    </row>
    <row r="117" ht="18.75" customHeight="1" spans="1:13">
      <c r="A117" s="23" t="s">
        <v>230</v>
      </c>
      <c r="B117" s="24" t="s">
        <v>231</v>
      </c>
      <c r="C117" s="25"/>
      <c r="D117" s="26"/>
      <c r="E117" s="26"/>
      <c r="F117" s="26"/>
      <c r="G117" s="25"/>
      <c r="H117" s="46">
        <v>20</v>
      </c>
      <c r="I117" s="45">
        <v>20</v>
      </c>
      <c r="J117" s="46">
        <f>SUM(C117:H117)</f>
        <v>20</v>
      </c>
      <c r="K117" s="76"/>
      <c r="M117"/>
    </row>
    <row r="118" ht="18.75" customHeight="1" spans="1:13">
      <c r="A118" s="68" t="s">
        <v>232</v>
      </c>
      <c r="B118" s="59" t="s">
        <v>233</v>
      </c>
      <c r="C118" s="73"/>
      <c r="D118" s="60"/>
      <c r="E118" s="60"/>
      <c r="F118" s="61"/>
      <c r="G118" s="61"/>
      <c r="H118" s="61"/>
      <c r="I118" s="45">
        <v>20</v>
      </c>
      <c r="J118" s="46">
        <f>SUM(C118:H118)</f>
        <v>0</v>
      </c>
      <c r="K118" s="76"/>
      <c r="M118"/>
    </row>
    <row r="119" ht="18.75" customHeight="1" spans="1:13">
      <c r="A119" s="58" t="s">
        <v>234</v>
      </c>
      <c r="B119" s="59" t="s">
        <v>235</v>
      </c>
      <c r="C119" s="60"/>
      <c r="D119" s="61"/>
      <c r="E119" s="62"/>
      <c r="F119" s="62"/>
      <c r="G119" s="62"/>
      <c r="H119" s="61"/>
      <c r="I119" s="45">
        <v>20</v>
      </c>
      <c r="J119" s="46">
        <f>SUM(C119:H119)</f>
        <v>0</v>
      </c>
      <c r="K119" s="76"/>
      <c r="M119"/>
    </row>
    <row r="120" ht="18.75" customHeight="1" spans="1:13">
      <c r="A120" s="58" t="s">
        <v>236</v>
      </c>
      <c r="B120" s="59" t="s">
        <v>237</v>
      </c>
      <c r="C120" s="60"/>
      <c r="D120" s="61"/>
      <c r="E120" s="62">
        <v>58</v>
      </c>
      <c r="F120" s="62">
        <v>21</v>
      </c>
      <c r="G120" s="62">
        <v>33</v>
      </c>
      <c r="H120" s="61"/>
      <c r="I120" s="45">
        <v>20</v>
      </c>
      <c r="J120" s="46">
        <f>SUM(C120:H120)</f>
        <v>112</v>
      </c>
      <c r="K120" s="76"/>
      <c r="M120"/>
    </row>
    <row r="121" ht="18.75" customHeight="1" spans="1:13">
      <c r="A121" s="68" t="s">
        <v>238</v>
      </c>
      <c r="B121" s="59" t="s">
        <v>239</v>
      </c>
      <c r="C121" s="60"/>
      <c r="D121" s="69"/>
      <c r="E121" s="69"/>
      <c r="F121" s="62"/>
      <c r="G121" s="62"/>
      <c r="H121" s="61"/>
      <c r="I121" s="45">
        <v>20</v>
      </c>
      <c r="J121" s="46">
        <f>SUM(C121:H121)</f>
        <v>0</v>
      </c>
      <c r="K121" s="76"/>
      <c r="M121"/>
    </row>
    <row r="122" ht="18.75" customHeight="1" spans="1:13">
      <c r="A122" s="68" t="s">
        <v>240</v>
      </c>
      <c r="B122" s="59" t="s">
        <v>241</v>
      </c>
      <c r="C122" s="60"/>
      <c r="D122" s="60"/>
      <c r="E122" s="69"/>
      <c r="F122" s="62"/>
      <c r="G122" s="62"/>
      <c r="H122" s="62"/>
      <c r="I122" s="45">
        <v>20</v>
      </c>
      <c r="J122" s="46">
        <f>SUM(C122:H122)</f>
        <v>0</v>
      </c>
      <c r="K122" s="76"/>
      <c r="M122"/>
    </row>
    <row r="123" ht="18.75" customHeight="1" spans="1:13">
      <c r="A123" s="68" t="s">
        <v>242</v>
      </c>
      <c r="B123" s="59" t="s">
        <v>243</v>
      </c>
      <c r="C123" s="73"/>
      <c r="D123" s="60"/>
      <c r="E123" s="60"/>
      <c r="F123" s="61"/>
      <c r="G123" s="61"/>
      <c r="H123" s="61"/>
      <c r="I123" s="45">
        <v>20</v>
      </c>
      <c r="J123" s="46">
        <f>SUM(C123:H123)</f>
        <v>0</v>
      </c>
      <c r="K123" s="76"/>
      <c r="M123"/>
    </row>
    <row r="124" ht="18.75" customHeight="1" spans="1:13">
      <c r="A124" s="68" t="s">
        <v>244</v>
      </c>
      <c r="B124" s="59" t="s">
        <v>245</v>
      </c>
      <c r="C124" s="73"/>
      <c r="D124" s="60"/>
      <c r="E124" s="60"/>
      <c r="F124" s="61"/>
      <c r="G124" s="61"/>
      <c r="H124" s="61"/>
      <c r="I124" s="45">
        <v>20</v>
      </c>
      <c r="J124" s="46">
        <f>SUM(C124:H124)</f>
        <v>0</v>
      </c>
      <c r="K124" s="76"/>
      <c r="M124"/>
    </row>
    <row r="125" ht="18.75" customHeight="1" spans="1:13">
      <c r="A125" s="68" t="s">
        <v>246</v>
      </c>
      <c r="B125" s="59" t="s">
        <v>247</v>
      </c>
      <c r="C125" s="73"/>
      <c r="D125" s="60"/>
      <c r="E125" s="60"/>
      <c r="F125" s="61"/>
      <c r="G125" s="61"/>
      <c r="H125" s="61"/>
      <c r="I125" s="45">
        <v>20</v>
      </c>
      <c r="J125" s="46">
        <f>SUM(C125:H125)</f>
        <v>0</v>
      </c>
      <c r="K125" s="76"/>
      <c r="M125"/>
    </row>
    <row r="126" ht="18.75" customHeight="1" spans="1:13">
      <c r="A126" s="68" t="s">
        <v>248</v>
      </c>
      <c r="B126" s="59" t="s">
        <v>249</v>
      </c>
      <c r="C126" s="73"/>
      <c r="D126" s="60"/>
      <c r="E126" s="60"/>
      <c r="F126" s="61"/>
      <c r="G126" s="61"/>
      <c r="H126" s="61"/>
      <c r="I126" s="45">
        <v>20</v>
      </c>
      <c r="J126" s="46">
        <f>SUM(C126:H126)</f>
        <v>0</v>
      </c>
      <c r="K126" s="76"/>
      <c r="M126"/>
    </row>
    <row r="127" ht="18.75" customHeight="1" spans="1:13">
      <c r="A127" s="77" t="s">
        <v>250</v>
      </c>
      <c r="B127" s="78" t="s">
        <v>251</v>
      </c>
      <c r="C127" s="79"/>
      <c r="D127" s="80"/>
      <c r="E127" s="80">
        <v>36</v>
      </c>
      <c r="F127" s="80">
        <v>30</v>
      </c>
      <c r="G127" s="80">
        <v>31</v>
      </c>
      <c r="H127" s="80"/>
      <c r="I127" s="45">
        <v>20</v>
      </c>
      <c r="J127" s="46">
        <f>SUM(C127:H127)</f>
        <v>97</v>
      </c>
      <c r="K127" s="76"/>
      <c r="M127"/>
    </row>
    <row r="128" ht="18.75" customHeight="1" spans="1:13">
      <c r="A128" s="58" t="s">
        <v>252</v>
      </c>
      <c r="B128" s="59" t="s">
        <v>253</v>
      </c>
      <c r="C128" s="61"/>
      <c r="D128" s="61"/>
      <c r="E128" s="62"/>
      <c r="F128" s="62"/>
      <c r="G128" s="62"/>
      <c r="H128" s="61"/>
      <c r="I128" s="45">
        <v>20</v>
      </c>
      <c r="J128" s="46">
        <f>SUM(C128:H128)</f>
        <v>0</v>
      </c>
      <c r="K128" s="76"/>
      <c r="M128"/>
    </row>
    <row r="129" ht="18.75" customHeight="1" spans="1:13">
      <c r="A129" s="70" t="s">
        <v>254</v>
      </c>
      <c r="B129" s="71" t="s">
        <v>255</v>
      </c>
      <c r="C129" s="72"/>
      <c r="D129" s="61"/>
      <c r="E129" s="61"/>
      <c r="F129" s="61"/>
      <c r="G129" s="61"/>
      <c r="H129" s="61"/>
      <c r="I129" s="45">
        <v>20</v>
      </c>
      <c r="J129" s="46">
        <f>SUM(C129:H129)</f>
        <v>0</v>
      </c>
      <c r="K129" s="76"/>
      <c r="M129"/>
    </row>
    <row r="130" ht="18.75" customHeight="1" spans="1:13">
      <c r="A130" s="68" t="s">
        <v>256</v>
      </c>
      <c r="B130" s="59" t="s">
        <v>257</v>
      </c>
      <c r="C130" s="73"/>
      <c r="D130" s="60"/>
      <c r="E130" s="60"/>
      <c r="F130" s="61"/>
      <c r="G130" s="61"/>
      <c r="H130" s="61"/>
      <c r="I130" s="45">
        <v>20</v>
      </c>
      <c r="J130" s="46">
        <f>SUM(C130:H130)</f>
        <v>0</v>
      </c>
      <c r="K130" s="76"/>
      <c r="M130"/>
    </row>
    <row r="131" ht="18.75" customHeight="1" spans="1:13">
      <c r="A131" s="68" t="s">
        <v>258</v>
      </c>
      <c r="B131" s="59" t="s">
        <v>259</v>
      </c>
      <c r="C131" s="73"/>
      <c r="D131" s="60"/>
      <c r="E131" s="60"/>
      <c r="F131" s="61"/>
      <c r="G131" s="61"/>
      <c r="H131" s="61"/>
      <c r="I131" s="45">
        <v>20</v>
      </c>
      <c r="J131" s="46">
        <f>SUM(C131:H131)</f>
        <v>0</v>
      </c>
      <c r="K131" s="76"/>
      <c r="M131"/>
    </row>
    <row r="132" ht="18.75" customHeight="1" spans="1:13">
      <c r="A132" s="68" t="s">
        <v>260</v>
      </c>
      <c r="B132" s="59" t="s">
        <v>261</v>
      </c>
      <c r="C132" s="73"/>
      <c r="D132" s="60"/>
      <c r="E132" s="60"/>
      <c r="F132" s="61"/>
      <c r="G132" s="61"/>
      <c r="H132" s="61"/>
      <c r="I132" s="45">
        <v>20</v>
      </c>
      <c r="J132" s="46">
        <f>SUM(C132:H132)</f>
        <v>0</v>
      </c>
      <c r="K132" s="76"/>
      <c r="M132"/>
    </row>
    <row r="133" ht="18.75" customHeight="1" spans="1:13">
      <c r="A133" s="68" t="s">
        <v>262</v>
      </c>
      <c r="B133" s="59" t="s">
        <v>263</v>
      </c>
      <c r="C133" s="73"/>
      <c r="D133" s="60"/>
      <c r="E133" s="60"/>
      <c r="F133" s="61"/>
      <c r="G133" s="61"/>
      <c r="H133" s="61"/>
      <c r="I133" s="45">
        <v>20</v>
      </c>
      <c r="J133" s="46">
        <f>SUM(C133:H133)</f>
        <v>0</v>
      </c>
      <c r="K133" s="76"/>
      <c r="M133"/>
    </row>
    <row r="134" ht="18.75" customHeight="1" spans="1:13">
      <c r="A134" s="68" t="s">
        <v>264</v>
      </c>
      <c r="B134" s="59" t="s">
        <v>265</v>
      </c>
      <c r="C134" s="73"/>
      <c r="D134" s="60"/>
      <c r="E134" s="60"/>
      <c r="F134" s="61"/>
      <c r="G134" s="61"/>
      <c r="H134" s="61"/>
      <c r="I134" s="45">
        <v>20</v>
      </c>
      <c r="J134" s="46">
        <f>SUM(C134:H134)</f>
        <v>0</v>
      </c>
      <c r="K134" s="76"/>
      <c r="M134"/>
    </row>
    <row r="135" ht="18.75" customHeight="1" spans="1:13">
      <c r="A135" s="68" t="s">
        <v>266</v>
      </c>
      <c r="B135" s="59" t="s">
        <v>267</v>
      </c>
      <c r="C135" s="73"/>
      <c r="D135" s="60"/>
      <c r="E135" s="60"/>
      <c r="F135" s="61"/>
      <c r="G135" s="61"/>
      <c r="H135" s="61"/>
      <c r="I135" s="45">
        <v>20</v>
      </c>
      <c r="J135" s="46">
        <f>SUM(C135:H135)</f>
        <v>0</v>
      </c>
      <c r="K135" s="76"/>
      <c r="M135"/>
    </row>
    <row r="136" ht="18.75" customHeight="1" spans="1:13">
      <c r="A136" s="68" t="s">
        <v>268</v>
      </c>
      <c r="B136" s="59" t="s">
        <v>269</v>
      </c>
      <c r="C136" s="73"/>
      <c r="D136" s="60"/>
      <c r="E136" s="60"/>
      <c r="F136" s="61"/>
      <c r="G136" s="61"/>
      <c r="H136" s="61"/>
      <c r="I136" s="45">
        <v>20</v>
      </c>
      <c r="J136" s="46">
        <f>SUM(C136:H136)</f>
        <v>0</v>
      </c>
      <c r="M136"/>
    </row>
    <row r="137" ht="18.75" customHeight="1" spans="1:13">
      <c r="A137" s="68" t="s">
        <v>270</v>
      </c>
      <c r="B137" s="59" t="s">
        <v>271</v>
      </c>
      <c r="C137" s="73"/>
      <c r="D137" s="60"/>
      <c r="E137" s="60"/>
      <c r="F137" s="61"/>
      <c r="G137" s="61"/>
      <c r="H137" s="61"/>
      <c r="I137" s="45">
        <v>20</v>
      </c>
      <c r="J137" s="46">
        <f>SUM(C137:H137)</f>
        <v>0</v>
      </c>
      <c r="M137"/>
    </row>
    <row r="138" ht="18.75" customHeight="1" spans="1:13">
      <c r="A138" s="68" t="s">
        <v>272</v>
      </c>
      <c r="B138" s="59" t="s">
        <v>273</v>
      </c>
      <c r="C138" s="73"/>
      <c r="D138" s="60"/>
      <c r="E138" s="60"/>
      <c r="F138" s="61"/>
      <c r="G138" s="61"/>
      <c r="H138" s="61"/>
      <c r="I138" s="45">
        <v>20</v>
      </c>
      <c r="J138" s="46">
        <f>SUM(C138:H138)</f>
        <v>0</v>
      </c>
      <c r="M138"/>
    </row>
    <row r="139" ht="18.75" customHeight="1" spans="1:13">
      <c r="A139" s="81" t="s">
        <v>274</v>
      </c>
      <c r="B139" s="82" t="s">
        <v>275</v>
      </c>
      <c r="C139" s="83"/>
      <c r="D139" s="84"/>
      <c r="E139" s="84"/>
      <c r="F139" s="85"/>
      <c r="G139" s="85"/>
      <c r="H139" s="86"/>
      <c r="I139" s="45">
        <v>20</v>
      </c>
      <c r="J139" s="46">
        <f>SUM(C139:H139)</f>
        <v>0</v>
      </c>
      <c r="M139"/>
    </row>
    <row r="140" ht="18.75" customHeight="1" spans="1:13">
      <c r="A140" s="87" t="s">
        <v>276</v>
      </c>
      <c r="B140" s="88" t="s">
        <v>277</v>
      </c>
      <c r="C140" s="89"/>
      <c r="D140" s="90"/>
      <c r="E140" s="91"/>
      <c r="F140" s="91"/>
      <c r="G140" s="91"/>
      <c r="H140" s="92"/>
      <c r="I140" s="45">
        <v>20</v>
      </c>
      <c r="J140" s="46">
        <f>SUM(C140:H140)</f>
        <v>0</v>
      </c>
      <c r="M140"/>
    </row>
    <row r="141" ht="18.75" customHeight="1" spans="1:13">
      <c r="A141" s="87" t="s">
        <v>278</v>
      </c>
      <c r="B141" s="88" t="s">
        <v>279</v>
      </c>
      <c r="C141" s="89"/>
      <c r="D141" s="90"/>
      <c r="E141" s="91"/>
      <c r="F141" s="91"/>
      <c r="G141" s="91"/>
      <c r="H141" s="92"/>
      <c r="I141" s="45">
        <v>20</v>
      </c>
      <c r="J141" s="46">
        <f>SUM(C141:H141)</f>
        <v>0</v>
      </c>
      <c r="M141"/>
    </row>
    <row r="142" spans="1:13">
      <c r="A142" s="87" t="s">
        <v>280</v>
      </c>
      <c r="B142" s="88" t="s">
        <v>281</v>
      </c>
      <c r="C142" s="89"/>
      <c r="D142" s="90"/>
      <c r="E142" s="91"/>
      <c r="F142" s="91"/>
      <c r="G142" s="91"/>
      <c r="H142" s="93"/>
      <c r="I142" s="45">
        <v>20</v>
      </c>
      <c r="J142" s="46">
        <f>SUM(C142:H142)</f>
        <v>0</v>
      </c>
      <c r="M142"/>
    </row>
    <row r="143" spans="1:13">
      <c r="A143" s="87" t="s">
        <v>282</v>
      </c>
      <c r="B143" s="88" t="s">
        <v>283</v>
      </c>
      <c r="C143" s="89"/>
      <c r="D143" s="90"/>
      <c r="E143" s="91"/>
      <c r="F143" s="91"/>
      <c r="G143" s="91"/>
      <c r="H143" s="93"/>
      <c r="I143" s="45">
        <v>20</v>
      </c>
      <c r="J143" s="46">
        <f>SUM(C143:H143)</f>
        <v>0</v>
      </c>
      <c r="M143"/>
    </row>
    <row r="144" spans="1:13">
      <c r="A144" s="94" t="s">
        <v>284</v>
      </c>
      <c r="B144" s="95" t="s">
        <v>285</v>
      </c>
      <c r="C144" s="90"/>
      <c r="D144" s="90"/>
      <c r="E144" s="91"/>
      <c r="F144" s="91"/>
      <c r="G144" s="91"/>
      <c r="H144" s="92"/>
      <c r="I144" s="45">
        <v>20</v>
      </c>
      <c r="J144" s="46">
        <f>SUM(C144:H144)</f>
        <v>0</v>
      </c>
      <c r="M144"/>
    </row>
    <row r="145" spans="1:13">
      <c r="A145" s="87" t="s">
        <v>286</v>
      </c>
      <c r="B145" s="96" t="s">
        <v>287</v>
      </c>
      <c r="C145" s="90"/>
      <c r="D145" s="90"/>
      <c r="E145" s="91"/>
      <c r="F145" s="91"/>
      <c r="G145" s="91"/>
      <c r="H145" s="92"/>
      <c r="I145" s="45">
        <v>20</v>
      </c>
      <c r="J145" s="46">
        <f>SUM(C145:H145)</f>
        <v>0</v>
      </c>
      <c r="M145"/>
    </row>
    <row r="146" spans="1:13">
      <c r="A146" s="87" t="s">
        <v>288</v>
      </c>
      <c r="B146" s="96" t="s">
        <v>289</v>
      </c>
      <c r="C146" s="90"/>
      <c r="D146" s="90"/>
      <c r="E146" s="91"/>
      <c r="F146" s="91"/>
      <c r="G146" s="91"/>
      <c r="H146" s="92"/>
      <c r="I146" s="45">
        <v>20</v>
      </c>
      <c r="J146" s="46">
        <f>SUM(C146:H146)</f>
        <v>0</v>
      </c>
      <c r="M146"/>
    </row>
    <row r="147" spans="1:13">
      <c r="A147" s="94" t="s">
        <v>290</v>
      </c>
      <c r="B147" s="96" t="s">
        <v>291</v>
      </c>
      <c r="C147" s="90"/>
      <c r="D147" s="90"/>
      <c r="E147" s="91"/>
      <c r="F147" s="91"/>
      <c r="G147" s="91"/>
      <c r="H147" s="92"/>
      <c r="I147" s="45">
        <v>20</v>
      </c>
      <c r="J147" s="46">
        <f>SUM(C147:H147)</f>
        <v>0</v>
      </c>
      <c r="M147"/>
    </row>
    <row r="148" spans="1:13">
      <c r="A148" s="87" t="s">
        <v>292</v>
      </c>
      <c r="B148" s="88" t="s">
        <v>293</v>
      </c>
      <c r="C148" s="90"/>
      <c r="D148" s="90"/>
      <c r="E148" s="91">
        <f>57</f>
        <v>57</v>
      </c>
      <c r="F148" s="91">
        <f>35</f>
        <v>35</v>
      </c>
      <c r="G148" s="91">
        <f>6</f>
        <v>6</v>
      </c>
      <c r="H148" s="97">
        <f>37+2</f>
        <v>39</v>
      </c>
      <c r="I148" s="45">
        <v>20</v>
      </c>
      <c r="J148" s="46">
        <f>SUM(C148:H148)</f>
        <v>137</v>
      </c>
      <c r="M148"/>
    </row>
    <row r="149" spans="1:13">
      <c r="A149" s="94" t="s">
        <v>294</v>
      </c>
      <c r="B149" s="96" t="s">
        <v>295</v>
      </c>
      <c r="C149" s="90"/>
      <c r="D149" s="90"/>
      <c r="E149" s="91"/>
      <c r="F149" s="91"/>
      <c r="G149" s="91"/>
      <c r="H149" s="92"/>
      <c r="I149" s="45">
        <v>20</v>
      </c>
      <c r="J149" s="46">
        <f>SUM(C149:H149)</f>
        <v>0</v>
      </c>
      <c r="M149"/>
    </row>
    <row r="150" spans="1:13">
      <c r="A150" s="87" t="s">
        <v>296</v>
      </c>
      <c r="B150" s="88" t="s">
        <v>297</v>
      </c>
      <c r="C150" s="90"/>
      <c r="D150" s="90"/>
      <c r="E150" s="91">
        <v>3</v>
      </c>
      <c r="F150" s="91">
        <f>1+1</f>
        <v>2</v>
      </c>
      <c r="G150" s="91">
        <v>8</v>
      </c>
      <c r="H150" s="97">
        <v>23</v>
      </c>
      <c r="I150" s="45">
        <v>20</v>
      </c>
      <c r="J150" s="46">
        <f>SUM(C150:H150)</f>
        <v>36</v>
      </c>
      <c r="M150"/>
    </row>
    <row r="151" spans="1:13">
      <c r="A151" s="98" t="s">
        <v>298</v>
      </c>
      <c r="B151" s="88" t="s">
        <v>299</v>
      </c>
      <c r="C151" s="99">
        <v>54</v>
      </c>
      <c r="D151" s="89"/>
      <c r="E151" s="89"/>
      <c r="F151" s="90"/>
      <c r="G151" s="90"/>
      <c r="H151" s="92"/>
      <c r="I151" s="45">
        <v>20</v>
      </c>
      <c r="J151" s="46">
        <f>SUM(C151:H151)</f>
        <v>54</v>
      </c>
      <c r="M151"/>
    </row>
    <row r="152" ht="15.75" spans="1:13">
      <c r="A152" s="98" t="s">
        <v>298</v>
      </c>
      <c r="B152" s="88" t="s">
        <v>300</v>
      </c>
      <c r="C152" s="99">
        <v>77</v>
      </c>
      <c r="D152" s="89"/>
      <c r="E152" s="89"/>
      <c r="F152" s="90"/>
      <c r="G152" s="90"/>
      <c r="H152" s="92"/>
      <c r="I152" s="45">
        <v>20</v>
      </c>
      <c r="J152" s="46">
        <f>SUM(C152:H152)</f>
        <v>77</v>
      </c>
      <c r="M152"/>
    </row>
    <row r="153" spans="1:13">
      <c r="A153" s="81" t="s">
        <v>301</v>
      </c>
      <c r="B153" s="82" t="s">
        <v>302</v>
      </c>
      <c r="C153" s="100"/>
      <c r="D153" s="84"/>
      <c r="E153" s="84"/>
      <c r="F153" s="85"/>
      <c r="G153" s="85"/>
      <c r="H153" s="86"/>
      <c r="I153" s="45">
        <v>20</v>
      </c>
      <c r="J153" s="46">
        <f>SUM(C153:H153)</f>
        <v>0</v>
      </c>
      <c r="M153"/>
    </row>
    <row r="154" spans="1:13">
      <c r="A154" s="98" t="s">
        <v>303</v>
      </c>
      <c r="B154" s="88" t="s">
        <v>304</v>
      </c>
      <c r="C154" s="99">
        <v>64</v>
      </c>
      <c r="D154" s="89"/>
      <c r="E154" s="89"/>
      <c r="F154" s="90"/>
      <c r="G154" s="90"/>
      <c r="H154" s="92"/>
      <c r="I154" s="45">
        <v>20</v>
      </c>
      <c r="J154" s="46">
        <f>SUM(C154:H154)</f>
        <v>64</v>
      </c>
      <c r="M154"/>
    </row>
    <row r="155" spans="1:13">
      <c r="A155" s="98" t="s">
        <v>305</v>
      </c>
      <c r="B155" s="88" t="s">
        <v>306</v>
      </c>
      <c r="C155" s="101"/>
      <c r="D155" s="89"/>
      <c r="E155" s="89"/>
      <c r="F155" s="90"/>
      <c r="G155" s="90"/>
      <c r="H155" s="92"/>
      <c r="I155" s="45">
        <v>20</v>
      </c>
      <c r="J155" s="46">
        <f>SUM(C155:H155)</f>
        <v>0</v>
      </c>
      <c r="M155"/>
    </row>
    <row r="156" spans="1:13">
      <c r="A156" s="98" t="s">
        <v>307</v>
      </c>
      <c r="B156" s="88" t="s">
        <v>308</v>
      </c>
      <c r="C156" s="101"/>
      <c r="D156" s="89"/>
      <c r="E156" s="89"/>
      <c r="F156" s="90"/>
      <c r="G156" s="90"/>
      <c r="H156" s="92"/>
      <c r="I156" s="45">
        <v>20</v>
      </c>
      <c r="J156" s="46">
        <f>SUM(C156:H156)</f>
        <v>0</v>
      </c>
      <c r="M156"/>
    </row>
    <row r="157" spans="1:13">
      <c r="A157" s="98" t="s">
        <v>309</v>
      </c>
      <c r="B157" s="88" t="s">
        <v>310</v>
      </c>
      <c r="C157" s="101"/>
      <c r="D157" s="89"/>
      <c r="E157" s="89"/>
      <c r="F157" s="90"/>
      <c r="G157" s="90"/>
      <c r="H157" s="92"/>
      <c r="I157" s="45">
        <v>20</v>
      </c>
      <c r="J157" s="46">
        <f>SUM(C157:H157)</f>
        <v>0</v>
      </c>
      <c r="M157"/>
    </row>
    <row r="158" spans="1:13">
      <c r="A158" s="98" t="s">
        <v>311</v>
      </c>
      <c r="B158" s="88" t="s">
        <v>312</v>
      </c>
      <c r="C158" s="101"/>
      <c r="D158" s="89"/>
      <c r="E158" s="89"/>
      <c r="F158" s="90"/>
      <c r="G158" s="90"/>
      <c r="H158" s="92"/>
      <c r="I158" s="45">
        <v>20</v>
      </c>
      <c r="J158" s="46">
        <f>SUM(C158:H158)</f>
        <v>0</v>
      </c>
      <c r="M158"/>
    </row>
    <row r="159" spans="1:13">
      <c r="A159" s="94" t="s">
        <v>313</v>
      </c>
      <c r="B159" s="96" t="s">
        <v>314</v>
      </c>
      <c r="C159" s="90"/>
      <c r="D159" s="90"/>
      <c r="E159" s="91">
        <v>60</v>
      </c>
      <c r="F159" s="91">
        <v>35</v>
      </c>
      <c r="G159" s="91">
        <v>64</v>
      </c>
      <c r="H159" s="92"/>
      <c r="I159" s="45">
        <v>20</v>
      </c>
      <c r="J159" s="46">
        <f>SUM(C159:H159)</f>
        <v>159</v>
      </c>
      <c r="M159"/>
    </row>
    <row r="160" spans="1:13">
      <c r="A160" s="87" t="s">
        <v>315</v>
      </c>
      <c r="B160" s="88" t="s">
        <v>316</v>
      </c>
      <c r="C160" s="89"/>
      <c r="D160" s="90"/>
      <c r="E160" s="91">
        <v>18</v>
      </c>
      <c r="F160" s="91">
        <v>13</v>
      </c>
      <c r="G160" s="91">
        <v>14</v>
      </c>
      <c r="H160" s="93">
        <v>65</v>
      </c>
      <c r="I160" s="45">
        <v>20</v>
      </c>
      <c r="J160" s="46">
        <f>SUM(C160:H160)</f>
        <v>110</v>
      </c>
      <c r="M160"/>
    </row>
    <row r="161" spans="1:13">
      <c r="A161" s="94" t="s">
        <v>317</v>
      </c>
      <c r="B161" s="96" t="s">
        <v>318</v>
      </c>
      <c r="C161" s="90"/>
      <c r="D161" s="90"/>
      <c r="E161" s="91"/>
      <c r="F161" s="91"/>
      <c r="G161" s="91"/>
      <c r="H161" s="92"/>
      <c r="I161" s="45">
        <v>20</v>
      </c>
      <c r="J161" s="46">
        <f>SUM(C161:H161)</f>
        <v>0</v>
      </c>
      <c r="M161"/>
    </row>
    <row r="162" spans="1:13">
      <c r="A162" s="87" t="s">
        <v>319</v>
      </c>
      <c r="B162" s="88" t="s">
        <v>320</v>
      </c>
      <c r="C162" s="89"/>
      <c r="D162" s="90"/>
      <c r="E162" s="91">
        <v>4</v>
      </c>
      <c r="F162" s="91">
        <v>7</v>
      </c>
      <c r="G162" s="91">
        <v>47</v>
      </c>
      <c r="H162" s="93"/>
      <c r="I162" s="45">
        <v>20</v>
      </c>
      <c r="J162" s="46">
        <f>SUM(C162:H162)</f>
        <v>58</v>
      </c>
      <c r="M162"/>
    </row>
    <row r="163" spans="1:13">
      <c r="A163" s="87" t="s">
        <v>321</v>
      </c>
      <c r="B163" s="88" t="s">
        <v>322</v>
      </c>
      <c r="C163" s="89"/>
      <c r="D163" s="90"/>
      <c r="E163" s="91">
        <v>18</v>
      </c>
      <c r="F163" s="91">
        <v>1</v>
      </c>
      <c r="G163" s="91">
        <v>5</v>
      </c>
      <c r="H163" s="93">
        <v>56</v>
      </c>
      <c r="I163" s="45">
        <v>20</v>
      </c>
      <c r="J163" s="46">
        <f>SUM(C163:H163)</f>
        <v>80</v>
      </c>
      <c r="M163"/>
    </row>
    <row r="164" spans="1:13">
      <c r="A164" s="94" t="s">
        <v>323</v>
      </c>
      <c r="B164" s="96" t="s">
        <v>324</v>
      </c>
      <c r="C164" s="90"/>
      <c r="D164" s="90"/>
      <c r="E164" s="91"/>
      <c r="F164" s="91"/>
      <c r="G164" s="91"/>
      <c r="H164" s="92"/>
      <c r="I164" s="45">
        <v>20</v>
      </c>
      <c r="J164" s="46">
        <f>SUM(C164:H164)</f>
        <v>0</v>
      </c>
      <c r="M164"/>
    </row>
    <row r="165" spans="1:13">
      <c r="A165" s="87" t="s">
        <v>325</v>
      </c>
      <c r="B165" s="96" t="s">
        <v>32</v>
      </c>
      <c r="C165" s="90"/>
      <c r="D165" s="102"/>
      <c r="E165" s="90"/>
      <c r="F165" s="90"/>
      <c r="G165" s="90"/>
      <c r="H165" s="92"/>
      <c r="I165" s="45">
        <v>20</v>
      </c>
      <c r="J165" s="46">
        <f>SUM(C165:H165)</f>
        <v>0</v>
      </c>
      <c r="M165"/>
    </row>
    <row r="166" spans="1:13">
      <c r="A166" s="87" t="s">
        <v>326</v>
      </c>
      <c r="B166" s="96" t="s">
        <v>327</v>
      </c>
      <c r="C166" s="90"/>
      <c r="D166" s="102"/>
      <c r="E166" s="90"/>
      <c r="F166" s="90"/>
      <c r="G166" s="90"/>
      <c r="H166" s="92"/>
      <c r="I166" s="45">
        <v>20</v>
      </c>
      <c r="J166" s="46">
        <f>SUM(C166:H166)</f>
        <v>0</v>
      </c>
      <c r="M166"/>
    </row>
    <row r="167" spans="1:13">
      <c r="A167" s="87" t="s">
        <v>328</v>
      </c>
      <c r="B167" s="96" t="s">
        <v>329</v>
      </c>
      <c r="C167" s="90"/>
      <c r="D167" s="102"/>
      <c r="E167" s="90"/>
      <c r="F167" s="90"/>
      <c r="G167" s="90"/>
      <c r="H167" s="92"/>
      <c r="I167" s="45">
        <v>20</v>
      </c>
      <c r="J167" s="46">
        <f>SUM(C167:H167)</f>
        <v>0</v>
      </c>
      <c r="M167"/>
    </row>
    <row r="168" spans="1:13">
      <c r="A168" s="87" t="s">
        <v>330</v>
      </c>
      <c r="B168" s="96" t="s">
        <v>295</v>
      </c>
      <c r="C168" s="90"/>
      <c r="D168" s="102"/>
      <c r="E168" s="90"/>
      <c r="F168" s="90"/>
      <c r="G168" s="90"/>
      <c r="H168" s="92"/>
      <c r="I168" s="45">
        <v>20</v>
      </c>
      <c r="J168" s="46">
        <f>SUM(C168:H168)</f>
        <v>0</v>
      </c>
      <c r="M168"/>
    </row>
    <row r="169" spans="1:13">
      <c r="A169" s="94" t="s">
        <v>331</v>
      </c>
      <c r="B169" s="96" t="s">
        <v>332</v>
      </c>
      <c r="C169" s="90"/>
      <c r="D169" s="91">
        <f>26+25</f>
        <v>51</v>
      </c>
      <c r="E169" s="91">
        <f>32+30</f>
        <v>62</v>
      </c>
      <c r="F169" s="91">
        <f>22+25</f>
        <v>47</v>
      </c>
      <c r="G169" s="91">
        <f>20+13</f>
        <v>33</v>
      </c>
      <c r="H169" s="92"/>
      <c r="I169" s="45">
        <v>20</v>
      </c>
      <c r="J169" s="46">
        <f>SUM(C169:H169)</f>
        <v>193</v>
      </c>
      <c r="M169"/>
    </row>
    <row r="170" spans="1:13">
      <c r="A170" s="94" t="s">
        <v>333</v>
      </c>
      <c r="B170" s="96" t="s">
        <v>334</v>
      </c>
      <c r="C170" s="90"/>
      <c r="D170" s="103"/>
      <c r="E170" s="91">
        <v>30</v>
      </c>
      <c r="F170" s="91">
        <v>25</v>
      </c>
      <c r="G170" s="91">
        <v>30</v>
      </c>
      <c r="H170" s="92"/>
      <c r="I170" s="45">
        <v>20</v>
      </c>
      <c r="J170" s="46">
        <f>SUM(C170:H170)</f>
        <v>85</v>
      </c>
      <c r="M170"/>
    </row>
    <row r="171" spans="1:13">
      <c r="A171" s="94" t="s">
        <v>335</v>
      </c>
      <c r="B171" s="96" t="s">
        <v>336</v>
      </c>
      <c r="C171" s="90"/>
      <c r="D171" s="90"/>
      <c r="E171" s="91"/>
      <c r="F171" s="91"/>
      <c r="G171" s="91"/>
      <c r="H171" s="92"/>
      <c r="I171" s="45">
        <v>20</v>
      </c>
      <c r="J171" s="46">
        <f>SUM(C171:H171)</f>
        <v>0</v>
      </c>
      <c r="M171"/>
    </row>
    <row r="172" spans="1:13">
      <c r="A172" s="94" t="s">
        <v>337</v>
      </c>
      <c r="B172" s="96" t="s">
        <v>338</v>
      </c>
      <c r="C172" s="90"/>
      <c r="D172" s="90"/>
      <c r="E172" s="91"/>
      <c r="F172" s="91"/>
      <c r="G172" s="91"/>
      <c r="H172" s="92"/>
      <c r="I172" s="45">
        <v>20</v>
      </c>
      <c r="J172" s="46">
        <f>SUM(C172:H172)</f>
        <v>0</v>
      </c>
      <c r="M172"/>
    </row>
    <row r="173" spans="1:13">
      <c r="A173" s="94" t="s">
        <v>339</v>
      </c>
      <c r="B173" s="96" t="s">
        <v>340</v>
      </c>
      <c r="C173" s="90"/>
      <c r="D173" s="90"/>
      <c r="E173" s="91"/>
      <c r="F173" s="91"/>
      <c r="G173" s="91"/>
      <c r="H173" s="92"/>
      <c r="I173" s="45">
        <v>20</v>
      </c>
      <c r="J173" s="46">
        <f>SUM(C173:H173)</f>
        <v>0</v>
      </c>
      <c r="M173"/>
    </row>
    <row r="174" spans="1:13">
      <c r="A174" s="94" t="s">
        <v>341</v>
      </c>
      <c r="B174" s="96" t="s">
        <v>342</v>
      </c>
      <c r="C174" s="90"/>
      <c r="D174" s="91"/>
      <c r="E174" s="91"/>
      <c r="F174" s="91"/>
      <c r="G174" s="91"/>
      <c r="H174" s="97"/>
      <c r="I174" s="45">
        <v>20</v>
      </c>
      <c r="J174" s="46">
        <f>SUM(C174:H174)</f>
        <v>0</v>
      </c>
      <c r="M174"/>
    </row>
    <row r="175" spans="1:13">
      <c r="A175" s="104" t="s">
        <v>343</v>
      </c>
      <c r="B175" s="105" t="s">
        <v>344</v>
      </c>
      <c r="C175" s="106"/>
      <c r="D175" s="107"/>
      <c r="E175" s="107"/>
      <c r="F175" s="107"/>
      <c r="G175" s="107"/>
      <c r="H175" s="108">
        <v>20</v>
      </c>
      <c r="I175" s="45">
        <v>20</v>
      </c>
      <c r="J175" s="46">
        <f>SUM(C175:H175)</f>
        <v>20</v>
      </c>
      <c r="K175" s="76"/>
      <c r="M175"/>
    </row>
    <row r="176" spans="1:13">
      <c r="A176" s="87" t="s">
        <v>345</v>
      </c>
      <c r="B176" s="88" t="s">
        <v>346</v>
      </c>
      <c r="C176" s="89"/>
      <c r="D176" s="90"/>
      <c r="E176" s="91"/>
      <c r="F176" s="91"/>
      <c r="G176" s="91"/>
      <c r="H176" s="93"/>
      <c r="I176" s="45">
        <v>20</v>
      </c>
      <c r="J176" s="46">
        <f>SUM(C176:H176)</f>
        <v>0</v>
      </c>
      <c r="M176"/>
    </row>
    <row r="177" spans="1:13">
      <c r="A177" s="87" t="s">
        <v>347</v>
      </c>
      <c r="B177" s="88" t="s">
        <v>348</v>
      </c>
      <c r="C177" s="89"/>
      <c r="D177" s="90"/>
      <c r="E177" s="91"/>
      <c r="F177" s="91"/>
      <c r="G177" s="91"/>
      <c r="H177" s="93"/>
      <c r="I177" s="45">
        <v>20</v>
      </c>
      <c r="J177" s="46">
        <f>SUM(C177:H177)</f>
        <v>0</v>
      </c>
      <c r="M177"/>
    </row>
    <row r="178" ht="15.75" spans="1:13">
      <c r="A178" s="109" t="s">
        <v>349</v>
      </c>
      <c r="B178" s="110" t="s">
        <v>350</v>
      </c>
      <c r="C178" s="111"/>
      <c r="D178" s="112">
        <v>1</v>
      </c>
      <c r="E178" s="113">
        <v>49</v>
      </c>
      <c r="F178" s="113">
        <v>22</v>
      </c>
      <c r="G178" s="113">
        <v>26</v>
      </c>
      <c r="H178" s="114">
        <v>7</v>
      </c>
      <c r="I178" s="45">
        <v>20</v>
      </c>
      <c r="J178" s="46">
        <f>SUM(C178:H178)</f>
        <v>105</v>
      </c>
      <c r="M178"/>
    </row>
    <row r="179" spans="1:13">
      <c r="A179" s="115" t="s">
        <v>351</v>
      </c>
      <c r="B179" s="82" t="s">
        <v>352</v>
      </c>
      <c r="C179" s="84"/>
      <c r="D179" s="85"/>
      <c r="E179" s="116">
        <v>62</v>
      </c>
      <c r="F179" s="116">
        <v>65</v>
      </c>
      <c r="G179" s="116">
        <v>44</v>
      </c>
      <c r="H179" s="117"/>
      <c r="I179" s="45">
        <v>20</v>
      </c>
      <c r="J179" s="46">
        <f>SUM(C179:H179)</f>
        <v>171</v>
      </c>
      <c r="M179"/>
    </row>
    <row r="180" spans="1:13">
      <c r="A180" s="87" t="s">
        <v>353</v>
      </c>
      <c r="B180" s="96" t="s">
        <v>346</v>
      </c>
      <c r="C180" s="90"/>
      <c r="D180" s="90"/>
      <c r="E180" s="91">
        <v>51</v>
      </c>
      <c r="F180" s="91">
        <v>11</v>
      </c>
      <c r="G180" s="91">
        <v>1</v>
      </c>
      <c r="H180" s="97">
        <v>1</v>
      </c>
      <c r="I180" s="45">
        <v>20</v>
      </c>
      <c r="J180" s="46">
        <f>SUM(C180:H180)</f>
        <v>64</v>
      </c>
      <c r="M180"/>
    </row>
    <row r="181" spans="1:13">
      <c r="A181" s="87" t="s">
        <v>354</v>
      </c>
      <c r="B181" s="96" t="s">
        <v>348</v>
      </c>
      <c r="C181" s="90"/>
      <c r="D181" s="90"/>
      <c r="E181" s="91"/>
      <c r="F181" s="91"/>
      <c r="G181" s="91"/>
      <c r="H181" s="97"/>
      <c r="I181" s="45">
        <v>20</v>
      </c>
      <c r="J181" s="46">
        <f>SUM(C181:H181)</f>
        <v>0</v>
      </c>
      <c r="M181"/>
    </row>
    <row r="182" spans="1:13">
      <c r="A182" s="87" t="s">
        <v>355</v>
      </c>
      <c r="B182" s="96" t="s">
        <v>356</v>
      </c>
      <c r="C182" s="90"/>
      <c r="D182" s="90"/>
      <c r="E182" s="91"/>
      <c r="F182" s="91"/>
      <c r="G182" s="91"/>
      <c r="H182" s="97"/>
      <c r="I182" s="45">
        <v>20</v>
      </c>
      <c r="J182" s="46">
        <f>SUM(C182:H182)</f>
        <v>0</v>
      </c>
      <c r="M182"/>
    </row>
    <row r="183" spans="1:13">
      <c r="A183" s="87" t="s">
        <v>357</v>
      </c>
      <c r="B183" s="96" t="s">
        <v>358</v>
      </c>
      <c r="C183" s="90"/>
      <c r="D183" s="90"/>
      <c r="E183" s="91">
        <v>10</v>
      </c>
      <c r="F183" s="91">
        <v>12</v>
      </c>
      <c r="G183" s="91">
        <v>11</v>
      </c>
      <c r="H183" s="97">
        <v>9</v>
      </c>
      <c r="I183" s="45">
        <v>20</v>
      </c>
      <c r="J183" s="46">
        <f>SUM(C183:H183)</f>
        <v>42</v>
      </c>
      <c r="M183"/>
    </row>
    <row r="184" spans="1:13">
      <c r="A184" s="87" t="s">
        <v>359</v>
      </c>
      <c r="B184" s="96" t="s">
        <v>360</v>
      </c>
      <c r="C184" s="90"/>
      <c r="D184" s="90"/>
      <c r="E184" s="91">
        <v>22</v>
      </c>
      <c r="F184" s="91"/>
      <c r="G184" s="91">
        <v>2</v>
      </c>
      <c r="H184" s="92">
        <v>7</v>
      </c>
      <c r="I184" s="45">
        <v>20</v>
      </c>
      <c r="J184" s="46">
        <f>SUM(C184:H184)</f>
        <v>31</v>
      </c>
      <c r="M184"/>
    </row>
    <row r="185" spans="1:13">
      <c r="A185" s="98" t="s">
        <v>361</v>
      </c>
      <c r="B185" s="88" t="s">
        <v>362</v>
      </c>
      <c r="C185" s="102"/>
      <c r="D185" s="89"/>
      <c r="E185" s="89"/>
      <c r="F185" s="90"/>
      <c r="G185" s="90"/>
      <c r="H185" s="92"/>
      <c r="I185" s="45">
        <v>20</v>
      </c>
      <c r="J185" s="46">
        <f>SUM(C185:H185)</f>
        <v>0</v>
      </c>
      <c r="M185"/>
    </row>
    <row r="186" spans="1:13">
      <c r="A186" s="87" t="s">
        <v>363</v>
      </c>
      <c r="B186" s="96" t="s">
        <v>364</v>
      </c>
      <c r="C186" s="90"/>
      <c r="D186" s="90"/>
      <c r="E186" s="91"/>
      <c r="F186" s="91"/>
      <c r="G186" s="91"/>
      <c r="H186" s="97"/>
      <c r="I186" s="45">
        <v>20</v>
      </c>
      <c r="J186" s="46">
        <f>SUM(C186:H186)</f>
        <v>0</v>
      </c>
      <c r="M186"/>
    </row>
    <row r="187" ht="15.75" spans="1:13">
      <c r="A187" s="118" t="s">
        <v>365</v>
      </c>
      <c r="B187" s="110" t="s">
        <v>366</v>
      </c>
      <c r="C187" s="119"/>
      <c r="D187" s="111"/>
      <c r="E187" s="120"/>
      <c r="F187" s="120"/>
      <c r="G187" s="120"/>
      <c r="H187" s="121"/>
      <c r="I187" s="45">
        <v>20</v>
      </c>
      <c r="J187" s="46">
        <f>SUM(C187:H187)</f>
        <v>0</v>
      </c>
      <c r="M187"/>
    </row>
    <row r="188" spans="1:13">
      <c r="A188" s="81" t="s">
        <v>367</v>
      </c>
      <c r="B188" s="82" t="s">
        <v>368</v>
      </c>
      <c r="C188" s="122"/>
      <c r="D188" s="84"/>
      <c r="E188" s="83"/>
      <c r="F188" s="83"/>
      <c r="G188" s="83"/>
      <c r="H188" s="86"/>
      <c r="I188" s="45">
        <v>20</v>
      </c>
      <c r="J188" s="46">
        <f>SUM(C188:H188)</f>
        <v>0</v>
      </c>
      <c r="M188"/>
    </row>
    <row r="189" spans="1:13">
      <c r="A189" s="123" t="s">
        <v>369</v>
      </c>
      <c r="B189" s="124" t="s">
        <v>370</v>
      </c>
      <c r="C189" s="125"/>
      <c r="D189" s="126"/>
      <c r="E189" s="127"/>
      <c r="F189" s="127"/>
      <c r="G189" s="127"/>
      <c r="H189" s="128"/>
      <c r="I189" s="45">
        <v>20</v>
      </c>
      <c r="J189" s="46">
        <f>SUM(C189:H189)</f>
        <v>0</v>
      </c>
      <c r="M189"/>
    </row>
    <row r="190" spans="1:13">
      <c r="A190" s="123" t="s">
        <v>371</v>
      </c>
      <c r="B190" s="124" t="s">
        <v>372</v>
      </c>
      <c r="C190" s="125"/>
      <c r="D190" s="126"/>
      <c r="E190" s="127"/>
      <c r="F190" s="127"/>
      <c r="G190" s="127"/>
      <c r="H190" s="128"/>
      <c r="I190" s="45">
        <v>20</v>
      </c>
      <c r="J190" s="46">
        <f>SUM(C190:H190)</f>
        <v>0</v>
      </c>
      <c r="M190"/>
    </row>
    <row r="191" spans="1:13">
      <c r="A191" s="98" t="s">
        <v>373</v>
      </c>
      <c r="B191" s="88" t="s">
        <v>374</v>
      </c>
      <c r="C191" s="129"/>
      <c r="D191" s="89"/>
      <c r="E191" s="102"/>
      <c r="F191" s="102"/>
      <c r="G191" s="102"/>
      <c r="H191" s="92"/>
      <c r="I191" s="45">
        <v>20</v>
      </c>
      <c r="J191" s="46">
        <f>SUM(C191:H191)</f>
        <v>0</v>
      </c>
      <c r="M191"/>
    </row>
    <row r="192" spans="1:13">
      <c r="A192" s="87" t="s">
        <v>375</v>
      </c>
      <c r="B192" s="96" t="s">
        <v>376</v>
      </c>
      <c r="C192" s="90"/>
      <c r="D192" s="90"/>
      <c r="E192" s="91"/>
      <c r="F192" s="91"/>
      <c r="G192" s="91"/>
      <c r="H192" s="97"/>
      <c r="I192" s="45">
        <v>20</v>
      </c>
      <c r="J192" s="46">
        <f>SUM(C192:H192)</f>
        <v>0</v>
      </c>
      <c r="M192"/>
    </row>
    <row r="193" spans="1:13">
      <c r="A193" s="87" t="s">
        <v>377</v>
      </c>
      <c r="B193" s="88" t="s">
        <v>378</v>
      </c>
      <c r="C193" s="89"/>
      <c r="D193" s="90"/>
      <c r="E193" s="91"/>
      <c r="F193" s="91"/>
      <c r="G193" s="91"/>
      <c r="H193" s="93"/>
      <c r="I193" s="45">
        <v>20</v>
      </c>
      <c r="J193" s="46">
        <f>SUM(C193:H193)</f>
        <v>0</v>
      </c>
      <c r="M193"/>
    </row>
    <row r="194" spans="1:13">
      <c r="A194" s="130" t="s">
        <v>379</v>
      </c>
      <c r="B194" s="131" t="s">
        <v>380</v>
      </c>
      <c r="C194" s="99"/>
      <c r="D194" s="90"/>
      <c r="E194" s="90"/>
      <c r="F194" s="90"/>
      <c r="G194" s="90"/>
      <c r="H194" s="92"/>
      <c r="I194" s="45">
        <v>20</v>
      </c>
      <c r="J194" s="46">
        <f>SUM(C194:H194)</f>
        <v>0</v>
      </c>
      <c r="M194"/>
    </row>
    <row r="195" spans="1:13">
      <c r="A195" s="130" t="s">
        <v>381</v>
      </c>
      <c r="B195" s="131" t="s">
        <v>382</v>
      </c>
      <c r="C195" s="99"/>
      <c r="D195" s="90"/>
      <c r="E195" s="90"/>
      <c r="F195" s="90"/>
      <c r="G195" s="90"/>
      <c r="H195" s="92"/>
      <c r="I195" s="45">
        <v>20</v>
      </c>
      <c r="J195" s="46">
        <f>SUM(C195:H195)</f>
        <v>0</v>
      </c>
      <c r="M195"/>
    </row>
    <row r="196" ht="15.75" spans="1:13">
      <c r="A196" s="132" t="s">
        <v>383</v>
      </c>
      <c r="B196" s="133" t="s">
        <v>384</v>
      </c>
      <c r="C196" s="99">
        <f>69+64+66</f>
        <v>199</v>
      </c>
      <c r="D196" s="90"/>
      <c r="E196" s="90"/>
      <c r="F196" s="90"/>
      <c r="G196" s="90"/>
      <c r="H196" s="92"/>
      <c r="I196" s="45">
        <v>20</v>
      </c>
      <c r="J196" s="46">
        <f>SUM(C196:H196)</f>
        <v>199</v>
      </c>
      <c r="M196"/>
    </row>
    <row r="197" ht="15.75" spans="1:13">
      <c r="A197" s="134" t="s">
        <v>385</v>
      </c>
      <c r="B197" s="135" t="s">
        <v>386</v>
      </c>
      <c r="C197" s="90"/>
      <c r="D197" s="91"/>
      <c r="E197" s="91"/>
      <c r="F197" s="91"/>
      <c r="G197" s="91"/>
      <c r="H197" s="97"/>
      <c r="I197" s="45">
        <v>20</v>
      </c>
      <c r="J197" s="46">
        <f>SUM(C197:H197)</f>
        <v>0</v>
      </c>
      <c r="M197"/>
    </row>
    <row r="198" spans="1:13">
      <c r="A198" s="136" t="s">
        <v>387</v>
      </c>
      <c r="B198" s="137" t="s">
        <v>388</v>
      </c>
      <c r="C198" s="99">
        <v>179</v>
      </c>
      <c r="D198" s="90"/>
      <c r="E198" s="90"/>
      <c r="F198" s="90"/>
      <c r="G198" s="90"/>
      <c r="H198" s="92"/>
      <c r="I198" s="45">
        <v>20</v>
      </c>
      <c r="J198" s="46">
        <f>SUM(C198:H198)</f>
        <v>179</v>
      </c>
      <c r="M198"/>
    </row>
    <row r="199" spans="1:13">
      <c r="A199" s="136" t="s">
        <v>389</v>
      </c>
      <c r="B199" s="131" t="s">
        <v>390</v>
      </c>
      <c r="C199" s="99"/>
      <c r="D199" s="90"/>
      <c r="E199" s="90"/>
      <c r="F199" s="90"/>
      <c r="G199" s="90"/>
      <c r="H199" s="92"/>
      <c r="I199" s="45">
        <v>20</v>
      </c>
      <c r="J199" s="46">
        <f>SUM(C199:H199)</f>
        <v>0</v>
      </c>
      <c r="M199"/>
    </row>
    <row r="200" spans="1:13">
      <c r="A200" s="136" t="s">
        <v>391</v>
      </c>
      <c r="B200" s="131" t="s">
        <v>392</v>
      </c>
      <c r="C200" s="99">
        <v>118</v>
      </c>
      <c r="D200" s="90"/>
      <c r="E200" s="90"/>
      <c r="F200" s="90"/>
      <c r="G200" s="90"/>
      <c r="H200" s="90"/>
      <c r="I200" s="45">
        <v>20</v>
      </c>
      <c r="J200" s="46">
        <f>SUM(C200:H200)</f>
        <v>118</v>
      </c>
      <c r="M200"/>
    </row>
    <row r="201" spans="1:13">
      <c r="A201" s="136" t="s">
        <v>393</v>
      </c>
      <c r="B201" s="131" t="s">
        <v>394</v>
      </c>
      <c r="C201" s="99">
        <v>60</v>
      </c>
      <c r="D201" s="90"/>
      <c r="E201" s="90"/>
      <c r="F201" s="90"/>
      <c r="G201" s="90"/>
      <c r="H201" s="90"/>
      <c r="I201" s="45">
        <v>20</v>
      </c>
      <c r="J201" s="46">
        <f>SUM(C201:H201)</f>
        <v>60</v>
      </c>
      <c r="M201"/>
    </row>
    <row r="202" spans="1:13">
      <c r="A202" s="136" t="s">
        <v>393</v>
      </c>
      <c r="B202" s="131" t="s">
        <v>395</v>
      </c>
      <c r="C202" s="99">
        <v>21</v>
      </c>
      <c r="D202" s="90"/>
      <c r="E202" s="90"/>
      <c r="F202" s="90"/>
      <c r="G202" s="90"/>
      <c r="H202" s="90"/>
      <c r="I202" s="45">
        <v>20</v>
      </c>
      <c r="J202" s="46">
        <f>SUM(C202:H202)</f>
        <v>21</v>
      </c>
      <c r="M202"/>
    </row>
    <row r="203" spans="1:13">
      <c r="A203" s="136" t="s">
        <v>393</v>
      </c>
      <c r="B203" s="131" t="s">
        <v>396</v>
      </c>
      <c r="C203" s="99">
        <v>38</v>
      </c>
      <c r="D203" s="90"/>
      <c r="E203" s="90"/>
      <c r="F203" s="90"/>
      <c r="G203" s="90"/>
      <c r="H203" s="90"/>
      <c r="I203" s="45">
        <v>20</v>
      </c>
      <c r="J203" s="46">
        <f>SUM(C203:H203)</f>
        <v>38</v>
      </c>
      <c r="M203"/>
    </row>
    <row r="204" spans="1:13">
      <c r="A204" s="136" t="s">
        <v>393</v>
      </c>
      <c r="B204" s="131" t="s">
        <v>397</v>
      </c>
      <c r="C204" s="99">
        <v>10</v>
      </c>
      <c r="D204" s="90"/>
      <c r="E204" s="90"/>
      <c r="F204" s="90"/>
      <c r="G204" s="90"/>
      <c r="H204" s="90"/>
      <c r="I204" s="45">
        <v>20</v>
      </c>
      <c r="J204" s="46">
        <f>SUM(C204:H204)</f>
        <v>10</v>
      </c>
      <c r="M204"/>
    </row>
    <row r="205" spans="1:13">
      <c r="A205" s="138" t="s">
        <v>398</v>
      </c>
      <c r="B205" s="88" t="s">
        <v>399</v>
      </c>
      <c r="C205" s="102"/>
      <c r="D205" s="89"/>
      <c r="E205" s="89"/>
      <c r="F205" s="90"/>
      <c r="G205" s="90"/>
      <c r="H205" s="90"/>
      <c r="I205" s="45">
        <v>20</v>
      </c>
      <c r="J205" s="46">
        <f>SUM(C205:H205)</f>
        <v>0</v>
      </c>
      <c r="M205"/>
    </row>
    <row r="206" ht="15.75" spans="1:13">
      <c r="A206" s="139" t="s">
        <v>400</v>
      </c>
      <c r="B206" s="140" t="s">
        <v>401</v>
      </c>
      <c r="C206" s="90"/>
      <c r="D206" s="91">
        <v>4</v>
      </c>
      <c r="E206" s="91">
        <v>21</v>
      </c>
      <c r="F206" s="91">
        <v>19</v>
      </c>
      <c r="G206" s="90"/>
      <c r="H206" s="90"/>
      <c r="I206" s="45">
        <v>20</v>
      </c>
      <c r="J206" s="46">
        <f>SUM(C206:H206)</f>
        <v>44</v>
      </c>
      <c r="M206"/>
    </row>
    <row r="207" spans="1:13">
      <c r="A207" s="115" t="s">
        <v>402</v>
      </c>
      <c r="B207" s="141" t="s">
        <v>403</v>
      </c>
      <c r="C207" s="85"/>
      <c r="D207" s="85"/>
      <c r="E207" s="116"/>
      <c r="F207" s="116"/>
      <c r="G207" s="116"/>
      <c r="H207" s="142"/>
      <c r="I207" s="45">
        <v>20</v>
      </c>
      <c r="J207" s="46">
        <f>SUM(C207:H207)</f>
        <v>0</v>
      </c>
      <c r="M207"/>
    </row>
    <row r="208" spans="1:13">
      <c r="A208" s="143" t="s">
        <v>404</v>
      </c>
      <c r="B208" s="144" t="s">
        <v>405</v>
      </c>
      <c r="C208" s="145"/>
      <c r="D208" s="146"/>
      <c r="E208" s="146">
        <v>44</v>
      </c>
      <c r="F208" s="146"/>
      <c r="G208" s="146"/>
      <c r="H208" s="45">
        <v>20</v>
      </c>
      <c r="I208" s="45">
        <v>20</v>
      </c>
      <c r="J208" s="46">
        <f>SUM(C208:H208)</f>
        <v>64</v>
      </c>
      <c r="K208" s="76"/>
      <c r="M208"/>
    </row>
    <row r="209" spans="1:13">
      <c r="A209" s="94" t="s">
        <v>406</v>
      </c>
      <c r="B209" s="96" t="s">
        <v>407</v>
      </c>
      <c r="C209" s="90"/>
      <c r="D209" s="90"/>
      <c r="E209" s="91">
        <v>59</v>
      </c>
      <c r="F209" s="91">
        <v>25</v>
      </c>
      <c r="G209" s="91">
        <v>26</v>
      </c>
      <c r="H209" s="147">
        <v>52</v>
      </c>
      <c r="I209" s="45">
        <v>20</v>
      </c>
      <c r="J209" s="46">
        <f>SUM(C209:H209)</f>
        <v>162</v>
      </c>
      <c r="M209"/>
    </row>
    <row r="210" spans="1:13">
      <c r="A210" s="130" t="s">
        <v>408</v>
      </c>
      <c r="B210" s="131" t="s">
        <v>409</v>
      </c>
      <c r="C210" s="129"/>
      <c r="D210" s="90"/>
      <c r="E210" s="91">
        <v>28</v>
      </c>
      <c r="F210" s="91">
        <v>28</v>
      </c>
      <c r="G210" s="91">
        <v>26</v>
      </c>
      <c r="H210" s="148"/>
      <c r="I210" s="45">
        <v>20</v>
      </c>
      <c r="J210" s="46">
        <f>SUM(C210:H210)</f>
        <v>82</v>
      </c>
      <c r="M210"/>
    </row>
    <row r="211" spans="1:13">
      <c r="A211" s="130" t="s">
        <v>410</v>
      </c>
      <c r="B211" s="131" t="s">
        <v>411</v>
      </c>
      <c r="C211" s="129"/>
      <c r="D211" s="90"/>
      <c r="E211" s="91">
        <v>24</v>
      </c>
      <c r="F211" s="91">
        <v>2</v>
      </c>
      <c r="G211" s="91"/>
      <c r="H211" s="147">
        <v>3</v>
      </c>
      <c r="I211" s="45">
        <v>20</v>
      </c>
      <c r="J211" s="46">
        <f>SUM(C211:H211)</f>
        <v>29</v>
      </c>
      <c r="M211"/>
    </row>
    <row r="212" spans="1:13">
      <c r="A212" s="130" t="s">
        <v>412</v>
      </c>
      <c r="B212" s="131" t="s">
        <v>413</v>
      </c>
      <c r="C212" s="129"/>
      <c r="D212" s="90"/>
      <c r="E212" s="91"/>
      <c r="F212" s="91"/>
      <c r="G212" s="91"/>
      <c r="H212" s="147"/>
      <c r="I212" s="45">
        <v>20</v>
      </c>
      <c r="J212" s="46">
        <f>SUM(C212:H212)</f>
        <v>0</v>
      </c>
      <c r="M212"/>
    </row>
    <row r="213" spans="1:13">
      <c r="A213" s="130" t="s">
        <v>414</v>
      </c>
      <c r="B213" s="131" t="s">
        <v>415</v>
      </c>
      <c r="C213" s="129"/>
      <c r="D213" s="91"/>
      <c r="E213" s="91">
        <v>30</v>
      </c>
      <c r="F213" s="91">
        <v>30</v>
      </c>
      <c r="G213" s="91">
        <v>30</v>
      </c>
      <c r="H213" s="147">
        <v>30</v>
      </c>
      <c r="I213" s="45">
        <v>20</v>
      </c>
      <c r="J213" s="46">
        <f>SUM(C213:H213)</f>
        <v>120</v>
      </c>
      <c r="M213"/>
    </row>
    <row r="214" spans="1:13">
      <c r="A214" s="130" t="s">
        <v>416</v>
      </c>
      <c r="B214" s="131" t="s">
        <v>417</v>
      </c>
      <c r="C214" s="129"/>
      <c r="D214" s="91"/>
      <c r="E214" s="91"/>
      <c r="F214" s="91"/>
      <c r="G214" s="91"/>
      <c r="H214" s="147"/>
      <c r="I214" s="45">
        <v>20</v>
      </c>
      <c r="J214" s="46">
        <f>SUM(C214:H214)</f>
        <v>0</v>
      </c>
      <c r="M214"/>
    </row>
    <row r="215" spans="1:13">
      <c r="A215" s="130" t="s">
        <v>418</v>
      </c>
      <c r="B215" s="131" t="s">
        <v>419</v>
      </c>
      <c r="C215" s="129"/>
      <c r="D215" s="91">
        <v>33</v>
      </c>
      <c r="E215" s="91">
        <v>8</v>
      </c>
      <c r="F215" s="91"/>
      <c r="G215" s="91">
        <v>13</v>
      </c>
      <c r="H215" s="147">
        <v>18</v>
      </c>
      <c r="I215" s="45">
        <v>20</v>
      </c>
      <c r="J215" s="46">
        <f>SUM(C215:H215)</f>
        <v>72</v>
      </c>
      <c r="M215"/>
    </row>
    <row r="216" spans="1:13">
      <c r="A216" s="130" t="s">
        <v>420</v>
      </c>
      <c r="B216" s="131" t="s">
        <v>421</v>
      </c>
      <c r="C216" s="99"/>
      <c r="D216" s="90"/>
      <c r="E216" s="90"/>
      <c r="F216" s="90"/>
      <c r="G216" s="90"/>
      <c r="H216" s="148"/>
      <c r="I216" s="45">
        <v>20</v>
      </c>
      <c r="J216" s="46">
        <f>SUM(C216:H216)</f>
        <v>0</v>
      </c>
      <c r="M216"/>
    </row>
    <row r="217" spans="1:13">
      <c r="A217" s="130" t="s">
        <v>422</v>
      </c>
      <c r="B217" s="131" t="s">
        <v>423</v>
      </c>
      <c r="C217" s="99">
        <f>52+50</f>
        <v>102</v>
      </c>
      <c r="D217" s="90"/>
      <c r="E217" s="90"/>
      <c r="F217" s="90"/>
      <c r="G217" s="90"/>
      <c r="H217" s="148"/>
      <c r="I217" s="45">
        <v>20</v>
      </c>
      <c r="J217" s="46">
        <f>SUM(C217:H217)</f>
        <v>102</v>
      </c>
      <c r="M217"/>
    </row>
    <row r="218" spans="1:13">
      <c r="A218" s="130" t="s">
        <v>424</v>
      </c>
      <c r="B218" s="131" t="s">
        <v>425</v>
      </c>
      <c r="C218" s="129"/>
      <c r="D218" s="90"/>
      <c r="E218" s="91">
        <v>20</v>
      </c>
      <c r="F218" s="91">
        <v>13</v>
      </c>
      <c r="G218" s="91">
        <v>9</v>
      </c>
      <c r="H218" s="147">
        <v>17</v>
      </c>
      <c r="I218" s="45">
        <v>20</v>
      </c>
      <c r="J218" s="46">
        <f>SUM(C218:H218)</f>
        <v>59</v>
      </c>
      <c r="M218"/>
    </row>
    <row r="219" spans="1:13">
      <c r="A219" s="130" t="s">
        <v>426</v>
      </c>
      <c r="B219" s="131" t="s">
        <v>427</v>
      </c>
      <c r="C219" s="129"/>
      <c r="D219" s="90"/>
      <c r="E219" s="91"/>
      <c r="F219" s="91"/>
      <c r="G219" s="91"/>
      <c r="H219" s="147"/>
      <c r="I219" s="45">
        <v>20</v>
      </c>
      <c r="J219" s="46">
        <f>SUM(C219:H219)</f>
        <v>0</v>
      </c>
      <c r="M219"/>
    </row>
    <row r="220" spans="1:13">
      <c r="A220" s="130" t="s">
        <v>428</v>
      </c>
      <c r="B220" s="131" t="s">
        <v>429</v>
      </c>
      <c r="C220" s="129"/>
      <c r="D220" s="90"/>
      <c r="E220" s="91">
        <f>20+39</f>
        <v>59</v>
      </c>
      <c r="F220" s="91">
        <f>58+31</f>
        <v>89</v>
      </c>
      <c r="G220" s="91">
        <f>38+30</f>
        <v>68</v>
      </c>
      <c r="H220" s="147">
        <v>40</v>
      </c>
      <c r="I220" s="45">
        <v>20</v>
      </c>
      <c r="J220" s="46">
        <f>SUM(C220:H220)</f>
        <v>256</v>
      </c>
      <c r="M220"/>
    </row>
    <row r="221" spans="1:13">
      <c r="A221" s="87" t="s">
        <v>430</v>
      </c>
      <c r="B221" s="96" t="s">
        <v>431</v>
      </c>
      <c r="C221" s="90"/>
      <c r="D221" s="90"/>
      <c r="E221" s="103"/>
      <c r="F221" s="103"/>
      <c r="G221" s="103"/>
      <c r="H221" s="148"/>
      <c r="I221" s="45">
        <v>20</v>
      </c>
      <c r="J221" s="46">
        <f>SUM(C221:H221)</f>
        <v>0</v>
      </c>
      <c r="M221"/>
    </row>
    <row r="222" spans="1:13">
      <c r="A222" s="87" t="s">
        <v>432</v>
      </c>
      <c r="B222" s="96" t="s">
        <v>433</v>
      </c>
      <c r="C222" s="90"/>
      <c r="D222" s="90"/>
      <c r="E222" s="91"/>
      <c r="F222" s="91"/>
      <c r="G222" s="91"/>
      <c r="H222" s="147"/>
      <c r="I222" s="45">
        <v>20</v>
      </c>
      <c r="J222" s="46">
        <f>SUM(C222:H222)</f>
        <v>0</v>
      </c>
      <c r="M222"/>
    </row>
    <row r="223" spans="1:13">
      <c r="A223" s="87" t="s">
        <v>434</v>
      </c>
      <c r="B223" s="96" t="s">
        <v>435</v>
      </c>
      <c r="C223" s="90"/>
      <c r="D223" s="90"/>
      <c r="E223" s="91"/>
      <c r="F223" s="91"/>
      <c r="G223" s="91"/>
      <c r="H223" s="148"/>
      <c r="I223" s="45">
        <v>20</v>
      </c>
      <c r="J223" s="46">
        <f>SUM(C223:H223)</f>
        <v>0</v>
      </c>
      <c r="M223"/>
    </row>
    <row r="224" spans="1:13">
      <c r="A224" s="87" t="s">
        <v>436</v>
      </c>
      <c r="B224" s="96" t="s">
        <v>437</v>
      </c>
      <c r="C224" s="90"/>
      <c r="D224" s="90"/>
      <c r="E224" s="91"/>
      <c r="F224" s="91"/>
      <c r="G224" s="91"/>
      <c r="H224" s="148"/>
      <c r="I224" s="45">
        <v>20</v>
      </c>
      <c r="J224" s="46">
        <f>SUM(C224:H224)</f>
        <v>0</v>
      </c>
      <c r="M224"/>
    </row>
    <row r="225" spans="1:13">
      <c r="A225" s="98" t="s">
        <v>438</v>
      </c>
      <c r="B225" s="88" t="s">
        <v>439</v>
      </c>
      <c r="C225" s="102"/>
      <c r="D225" s="102"/>
      <c r="E225" s="102"/>
      <c r="F225" s="102"/>
      <c r="G225" s="102"/>
      <c r="H225" s="149"/>
      <c r="I225" s="45">
        <v>20</v>
      </c>
      <c r="J225" s="46">
        <f>SUM(C225:H225)</f>
        <v>0</v>
      </c>
      <c r="M225"/>
    </row>
    <row r="226" spans="1:13">
      <c r="A226" s="98" t="s">
        <v>440</v>
      </c>
      <c r="B226" s="88" t="s">
        <v>441</v>
      </c>
      <c r="C226" s="102"/>
      <c r="D226" s="102"/>
      <c r="E226" s="102"/>
      <c r="F226" s="102"/>
      <c r="G226" s="102"/>
      <c r="H226" s="149"/>
      <c r="I226" s="45">
        <v>20</v>
      </c>
      <c r="J226" s="46">
        <f>SUM(C226:H226)</f>
        <v>0</v>
      </c>
      <c r="M226"/>
    </row>
    <row r="227" spans="1:13">
      <c r="A227" s="98" t="s">
        <v>442</v>
      </c>
      <c r="B227" s="88" t="s">
        <v>443</v>
      </c>
      <c r="C227" s="102"/>
      <c r="D227" s="102"/>
      <c r="E227" s="102"/>
      <c r="F227" s="102"/>
      <c r="G227" s="102"/>
      <c r="H227" s="149"/>
      <c r="I227" s="45">
        <v>20</v>
      </c>
      <c r="J227" s="46">
        <f>SUM(C227:H227)</f>
        <v>0</v>
      </c>
      <c r="M227"/>
    </row>
    <row r="228" spans="1:13">
      <c r="A228" s="98" t="s">
        <v>444</v>
      </c>
      <c r="B228" s="88" t="s">
        <v>445</v>
      </c>
      <c r="C228" s="102"/>
      <c r="D228" s="102"/>
      <c r="E228" s="102"/>
      <c r="F228" s="102"/>
      <c r="G228" s="102"/>
      <c r="H228" s="149"/>
      <c r="I228" s="45">
        <v>20</v>
      </c>
      <c r="J228" s="46">
        <f>SUM(C228:H228)</f>
        <v>0</v>
      </c>
      <c r="M228"/>
    </row>
    <row r="229" spans="1:13">
      <c r="A229" s="98" t="s">
        <v>446</v>
      </c>
      <c r="B229" s="88" t="s">
        <v>447</v>
      </c>
      <c r="C229" s="102"/>
      <c r="D229" s="102"/>
      <c r="E229" s="102"/>
      <c r="F229" s="102"/>
      <c r="G229" s="102"/>
      <c r="H229" s="149"/>
      <c r="I229" s="45">
        <v>20</v>
      </c>
      <c r="J229" s="46">
        <f>SUM(C229:H229)</f>
        <v>0</v>
      </c>
      <c r="M229"/>
    </row>
    <row r="230" spans="1:13">
      <c r="A230" s="98" t="s">
        <v>448</v>
      </c>
      <c r="B230" s="88" t="s">
        <v>449</v>
      </c>
      <c r="C230" s="102"/>
      <c r="D230" s="102"/>
      <c r="E230" s="102"/>
      <c r="F230" s="102"/>
      <c r="G230" s="102"/>
      <c r="H230" s="149"/>
      <c r="I230" s="45">
        <v>20</v>
      </c>
      <c r="J230" s="46">
        <f>SUM(C230:H230)</f>
        <v>0</v>
      </c>
      <c r="M230"/>
    </row>
    <row r="231" spans="1:13">
      <c r="A231" s="98" t="s">
        <v>450</v>
      </c>
      <c r="B231" s="88" t="s">
        <v>451</v>
      </c>
      <c r="C231" s="102"/>
      <c r="D231" s="102"/>
      <c r="E231" s="102"/>
      <c r="F231" s="102"/>
      <c r="G231" s="102"/>
      <c r="H231" s="149"/>
      <c r="I231" s="45">
        <v>20</v>
      </c>
      <c r="J231" s="46">
        <f>SUM(C231:H231)</f>
        <v>0</v>
      </c>
      <c r="M231"/>
    </row>
    <row r="232" spans="1:13">
      <c r="A232" s="98" t="s">
        <v>452</v>
      </c>
      <c r="B232" s="88" t="s">
        <v>453</v>
      </c>
      <c r="C232" s="102"/>
      <c r="D232" s="102"/>
      <c r="E232" s="102"/>
      <c r="F232" s="102"/>
      <c r="G232" s="102"/>
      <c r="H232" s="149"/>
      <c r="I232" s="45">
        <v>20</v>
      </c>
      <c r="J232" s="46">
        <f>SUM(C232:H232)</f>
        <v>0</v>
      </c>
      <c r="M232"/>
    </row>
    <row r="233" spans="1:13">
      <c r="A233" s="98" t="s">
        <v>454</v>
      </c>
      <c r="B233" s="88" t="s">
        <v>455</v>
      </c>
      <c r="C233" s="102"/>
      <c r="D233" s="102"/>
      <c r="E233" s="102"/>
      <c r="F233" s="102"/>
      <c r="G233" s="102"/>
      <c r="H233" s="149"/>
      <c r="I233" s="45">
        <v>20</v>
      </c>
      <c r="J233" s="46">
        <f>SUM(C233:H233)</f>
        <v>0</v>
      </c>
      <c r="M233"/>
    </row>
    <row r="234" spans="1:13">
      <c r="A234" s="98" t="s">
        <v>456</v>
      </c>
      <c r="B234" s="88" t="s">
        <v>457</v>
      </c>
      <c r="C234" s="102"/>
      <c r="D234" s="102"/>
      <c r="E234" s="102"/>
      <c r="F234" s="102"/>
      <c r="G234" s="102"/>
      <c r="H234" s="149"/>
      <c r="I234" s="45">
        <v>20</v>
      </c>
      <c r="J234" s="46">
        <f>SUM(C234:H234)</f>
        <v>0</v>
      </c>
      <c r="M234"/>
    </row>
    <row r="235" spans="1:13">
      <c r="A235" s="98" t="s">
        <v>458</v>
      </c>
      <c r="B235" s="88" t="s">
        <v>459</v>
      </c>
      <c r="C235" s="102"/>
      <c r="D235" s="102"/>
      <c r="E235" s="102"/>
      <c r="F235" s="102"/>
      <c r="G235" s="102"/>
      <c r="H235" s="149"/>
      <c r="I235" s="45">
        <v>20</v>
      </c>
      <c r="J235" s="46">
        <f>SUM(C235:H235)</f>
        <v>0</v>
      </c>
      <c r="M235"/>
    </row>
    <row r="236" spans="1:13">
      <c r="A236" s="98" t="s">
        <v>460</v>
      </c>
      <c r="B236" s="88" t="s">
        <v>461</v>
      </c>
      <c r="C236" s="102"/>
      <c r="D236" s="102"/>
      <c r="E236" s="102"/>
      <c r="F236" s="102"/>
      <c r="G236" s="102"/>
      <c r="H236" s="149"/>
      <c r="I236" s="45">
        <v>20</v>
      </c>
      <c r="J236" s="46">
        <f>SUM(C236:H236)</f>
        <v>0</v>
      </c>
      <c r="M236"/>
    </row>
    <row r="237" spans="1:13">
      <c r="A237" s="98" t="s">
        <v>462</v>
      </c>
      <c r="B237" s="88" t="s">
        <v>463</v>
      </c>
      <c r="C237" s="102"/>
      <c r="D237" s="102"/>
      <c r="E237" s="102"/>
      <c r="F237" s="102"/>
      <c r="G237" s="102"/>
      <c r="H237" s="149"/>
      <c r="I237" s="45">
        <v>20</v>
      </c>
      <c r="J237" s="46">
        <f>SUM(C237:H237)</f>
        <v>0</v>
      </c>
      <c r="M237"/>
    </row>
    <row r="238" spans="1:13">
      <c r="A238" s="87" t="s">
        <v>464</v>
      </c>
      <c r="B238" s="96" t="s">
        <v>465</v>
      </c>
      <c r="C238" s="91"/>
      <c r="D238" s="90"/>
      <c r="E238" s="90"/>
      <c r="F238" s="90"/>
      <c r="G238" s="92"/>
      <c r="H238" s="148"/>
      <c r="I238" s="45">
        <v>20</v>
      </c>
      <c r="J238" s="46">
        <f>SUM(C238:H238)</f>
        <v>0</v>
      </c>
      <c r="M238"/>
    </row>
    <row r="239" spans="1:13">
      <c r="A239" s="87" t="s">
        <v>466</v>
      </c>
      <c r="B239" s="96" t="s">
        <v>467</v>
      </c>
      <c r="C239" s="91"/>
      <c r="D239" s="90"/>
      <c r="E239" s="90"/>
      <c r="F239" s="90"/>
      <c r="G239" s="90"/>
      <c r="H239" s="148"/>
      <c r="I239" s="45">
        <v>20</v>
      </c>
      <c r="J239" s="46">
        <f>SUM(C239:H239)</f>
        <v>0</v>
      </c>
      <c r="M239"/>
    </row>
    <row r="240" spans="1:13">
      <c r="A240" s="150" t="s">
        <v>468</v>
      </c>
      <c r="B240" s="96" t="s">
        <v>469</v>
      </c>
      <c r="C240" s="91"/>
      <c r="D240" s="90"/>
      <c r="E240" s="90"/>
      <c r="F240" s="90"/>
      <c r="G240" s="90"/>
      <c r="H240" s="148"/>
      <c r="I240" s="45">
        <v>20</v>
      </c>
      <c r="J240" s="46">
        <f>SUM(C240:H240)</f>
        <v>0</v>
      </c>
      <c r="M240"/>
    </row>
    <row r="241" spans="1:13">
      <c r="A241" s="104" t="s">
        <v>470</v>
      </c>
      <c r="B241" s="105" t="s">
        <v>471</v>
      </c>
      <c r="C241" s="106"/>
      <c r="D241" s="107"/>
      <c r="E241" s="107"/>
      <c r="F241" s="107"/>
      <c r="G241" s="107"/>
      <c r="H241" s="45">
        <v>20</v>
      </c>
      <c r="I241" s="45">
        <v>20</v>
      </c>
      <c r="J241" s="46">
        <f>SUM(C241:H241)</f>
        <v>20</v>
      </c>
      <c r="K241" s="76"/>
      <c r="M241"/>
    </row>
    <row r="242" spans="1:13">
      <c r="A242" s="150" t="s">
        <v>472</v>
      </c>
      <c r="B242" s="88" t="s">
        <v>473</v>
      </c>
      <c r="C242" s="90"/>
      <c r="D242" s="90"/>
      <c r="E242" s="91">
        <v>20</v>
      </c>
      <c r="F242" s="91">
        <v>86</v>
      </c>
      <c r="G242" s="91">
        <v>70</v>
      </c>
      <c r="H242" s="148"/>
      <c r="I242" s="45">
        <v>20</v>
      </c>
      <c r="J242" s="46">
        <f>SUM(C242:H242)</f>
        <v>176</v>
      </c>
      <c r="M242"/>
    </row>
    <row r="243" spans="1:13">
      <c r="A243" s="87" t="s">
        <v>474</v>
      </c>
      <c r="B243" s="96" t="s">
        <v>475</v>
      </c>
      <c r="C243" s="90"/>
      <c r="D243" s="91"/>
      <c r="E243" s="91"/>
      <c r="F243" s="91">
        <v>11</v>
      </c>
      <c r="G243" s="103">
        <v>99</v>
      </c>
      <c r="H243" s="148"/>
      <c r="I243" s="45">
        <v>20</v>
      </c>
      <c r="J243" s="46">
        <f>SUM(C243:H243)</f>
        <v>110</v>
      </c>
      <c r="M243"/>
    </row>
    <row r="244" spans="1:10">
      <c r="A244" s="143" t="s">
        <v>476</v>
      </c>
      <c r="B244" s="105" t="s">
        <v>477</v>
      </c>
      <c r="C244" s="151"/>
      <c r="D244" s="152"/>
      <c r="E244" s="152"/>
      <c r="F244" s="152"/>
      <c r="G244" s="152"/>
      <c r="H244" s="152"/>
      <c r="I244" s="45">
        <v>20</v>
      </c>
      <c r="J244" s="46">
        <f>SUM(C244:H244)</f>
        <v>0</v>
      </c>
    </row>
    <row r="245" spans="1:10">
      <c r="A245" s="104" t="s">
        <v>478</v>
      </c>
      <c r="B245" s="105" t="s">
        <v>479</v>
      </c>
      <c r="C245" s="151"/>
      <c r="D245" s="145"/>
      <c r="E245" s="145"/>
      <c r="F245" s="145"/>
      <c r="G245" s="145"/>
      <c r="H245" s="145"/>
      <c r="I245" s="45">
        <v>20</v>
      </c>
      <c r="J245" s="46">
        <f>SUM(C245:H245)</f>
        <v>0</v>
      </c>
    </row>
    <row r="246" spans="1:10">
      <c r="A246" s="104" t="s">
        <v>480</v>
      </c>
      <c r="B246" s="105" t="s">
        <v>481</v>
      </c>
      <c r="C246" s="151"/>
      <c r="D246" s="145"/>
      <c r="E246" s="145"/>
      <c r="F246" s="145"/>
      <c r="G246" s="145"/>
      <c r="H246" s="145"/>
      <c r="I246" s="45">
        <v>20</v>
      </c>
      <c r="J246" s="46">
        <f>SUM(C246:H246)</f>
        <v>0</v>
      </c>
    </row>
    <row r="247" spans="1:10">
      <c r="A247" s="143" t="s">
        <v>482</v>
      </c>
      <c r="B247" s="105" t="s">
        <v>483</v>
      </c>
      <c r="C247" s="151"/>
      <c r="D247" s="152"/>
      <c r="E247" s="152"/>
      <c r="F247" s="152"/>
      <c r="G247" s="152"/>
      <c r="H247" s="152"/>
      <c r="I247" s="45">
        <v>20</v>
      </c>
      <c r="J247" s="46">
        <f>SUM(C247:H247)</f>
        <v>0</v>
      </c>
    </row>
    <row r="248" spans="1:11">
      <c r="A248" s="153" t="s">
        <v>484</v>
      </c>
      <c r="B248" s="154" t="s">
        <v>485</v>
      </c>
      <c r="C248" s="155"/>
      <c r="D248" s="156"/>
      <c r="E248" s="157"/>
      <c r="F248" s="158">
        <v>2</v>
      </c>
      <c r="G248" s="157"/>
      <c r="H248" s="157"/>
      <c r="I248" s="177">
        <v>20</v>
      </c>
      <c r="J248" s="46">
        <f>SUM(C248:H248)</f>
        <v>2</v>
      </c>
      <c r="K248" s="232" t="s">
        <v>486</v>
      </c>
    </row>
    <row r="249" spans="1:10">
      <c r="A249" s="159" t="s">
        <v>487</v>
      </c>
      <c r="B249" s="105" t="s">
        <v>488</v>
      </c>
      <c r="C249" s="160"/>
      <c r="D249" s="161"/>
      <c r="E249" s="162">
        <v>42</v>
      </c>
      <c r="F249" s="162">
        <v>87</v>
      </c>
      <c r="G249" s="162">
        <v>29</v>
      </c>
      <c r="H249" s="161"/>
      <c r="I249" s="108">
        <v>20</v>
      </c>
      <c r="J249" s="46">
        <f>SUM(C249:H249)</f>
        <v>158</v>
      </c>
    </row>
    <row r="250" spans="1:10">
      <c r="A250" s="159" t="s">
        <v>489</v>
      </c>
      <c r="B250" s="105" t="s">
        <v>490</v>
      </c>
      <c r="C250" s="163"/>
      <c r="D250" s="164"/>
      <c r="E250" s="164"/>
      <c r="F250" s="164"/>
      <c r="G250" s="164"/>
      <c r="H250" s="164"/>
      <c r="I250" s="108">
        <v>20</v>
      </c>
      <c r="J250" s="46">
        <f>SUM(C250:H250)</f>
        <v>0</v>
      </c>
    </row>
    <row r="251" spans="1:10">
      <c r="A251" s="165" t="s">
        <v>491</v>
      </c>
      <c r="B251" s="144" t="s">
        <v>492</v>
      </c>
      <c r="C251" s="166"/>
      <c r="D251" s="146"/>
      <c r="E251" s="145"/>
      <c r="F251" s="145"/>
      <c r="G251" s="145"/>
      <c r="H251" s="145"/>
      <c r="I251" s="108">
        <v>20</v>
      </c>
      <c r="J251" s="46">
        <f>SUM(C251:H251)</f>
        <v>0</v>
      </c>
    </row>
    <row r="252" spans="1:10">
      <c r="A252" s="159" t="s">
        <v>493</v>
      </c>
      <c r="B252" s="105" t="s">
        <v>494</v>
      </c>
      <c r="C252" s="166"/>
      <c r="D252" s="146"/>
      <c r="E252" s="145"/>
      <c r="F252" s="145"/>
      <c r="G252" s="145"/>
      <c r="H252" s="145"/>
      <c r="I252" s="108">
        <v>20</v>
      </c>
      <c r="J252" s="46">
        <f>SUM(C252:H252)</f>
        <v>0</v>
      </c>
    </row>
    <row r="253" ht="15.75" spans="1:10">
      <c r="A253" s="167" t="s">
        <v>495</v>
      </c>
      <c r="B253" s="168" t="s">
        <v>496</v>
      </c>
      <c r="C253" s="169"/>
      <c r="D253" s="170"/>
      <c r="E253" s="171"/>
      <c r="F253" s="171"/>
      <c r="G253" s="171"/>
      <c r="H253" s="171"/>
      <c r="I253" s="178">
        <v>20</v>
      </c>
      <c r="J253" s="46">
        <f>SUM(C253:H253)</f>
        <v>0</v>
      </c>
    </row>
    <row r="254" spans="1:10">
      <c r="A254" s="172" t="s">
        <v>497</v>
      </c>
      <c r="B254" s="173" t="s">
        <v>498</v>
      </c>
      <c r="C254" s="174">
        <v>38</v>
      </c>
      <c r="D254" s="175"/>
      <c r="E254" s="176"/>
      <c r="F254" s="176"/>
      <c r="G254" s="176"/>
      <c r="H254" s="176"/>
      <c r="I254" s="179">
        <v>20</v>
      </c>
      <c r="J254" s="46">
        <f>SUM(C254:H254)</f>
        <v>38</v>
      </c>
    </row>
    <row r="255" spans="1:10">
      <c r="A255" s="143" t="s">
        <v>499</v>
      </c>
      <c r="B255" s="105" t="s">
        <v>500</v>
      </c>
      <c r="C255" s="163"/>
      <c r="D255" s="152"/>
      <c r="E255" s="152"/>
      <c r="F255" s="152"/>
      <c r="G255" s="152"/>
      <c r="H255" s="152"/>
      <c r="I255" s="108">
        <v>20</v>
      </c>
      <c r="J255" s="46">
        <f>SUM(C255:H255)</f>
        <v>0</v>
      </c>
    </row>
    <row r="256" spans="1:10">
      <c r="A256" s="104" t="s">
        <v>501</v>
      </c>
      <c r="B256" s="105" t="s">
        <v>502</v>
      </c>
      <c r="C256" s="166"/>
      <c r="D256" s="145"/>
      <c r="E256" s="146">
        <v>79</v>
      </c>
      <c r="F256" s="146">
        <v>13</v>
      </c>
      <c r="G256" s="146">
        <v>16</v>
      </c>
      <c r="H256" s="145"/>
      <c r="I256" s="108">
        <v>20</v>
      </c>
      <c r="J256" s="46">
        <f>SUM(C256:H256)</f>
        <v>108</v>
      </c>
    </row>
    <row r="257" spans="1:10">
      <c r="A257" s="143" t="s">
        <v>503</v>
      </c>
      <c r="B257" s="105" t="s">
        <v>504</v>
      </c>
      <c r="C257" s="166"/>
      <c r="D257" s="145"/>
      <c r="E257" s="146"/>
      <c r="F257" s="146"/>
      <c r="G257" s="146"/>
      <c r="H257" s="145"/>
      <c r="I257" s="108">
        <v>20</v>
      </c>
      <c r="J257" s="46">
        <f>SUM(C257:H257)</f>
        <v>0</v>
      </c>
    </row>
    <row r="258" spans="1:10">
      <c r="A258" s="143" t="s">
        <v>505</v>
      </c>
      <c r="B258" s="105" t="s">
        <v>506</v>
      </c>
      <c r="C258" s="166"/>
      <c r="D258" s="145"/>
      <c r="E258" s="146">
        <v>13</v>
      </c>
      <c r="F258" s="146">
        <v>50</v>
      </c>
      <c r="G258" s="146">
        <v>32</v>
      </c>
      <c r="H258" s="145"/>
      <c r="I258" s="108">
        <v>20</v>
      </c>
      <c r="J258" s="46">
        <f>SUM(C258:H258)</f>
        <v>95</v>
      </c>
    </row>
    <row r="259" spans="1:11">
      <c r="A259" s="104" t="s">
        <v>507</v>
      </c>
      <c r="B259" s="105" t="s">
        <v>508</v>
      </c>
      <c r="C259" s="180"/>
      <c r="D259" s="181"/>
      <c r="E259" s="146">
        <v>15</v>
      </c>
      <c r="F259" s="146">
        <v>17</v>
      </c>
      <c r="G259" s="146">
        <v>86</v>
      </c>
      <c r="H259" s="182"/>
      <c r="I259" s="108">
        <v>20</v>
      </c>
      <c r="J259" s="46">
        <f>SUM(C259:H259)</f>
        <v>118</v>
      </c>
      <c r="K259" s="232" t="s">
        <v>486</v>
      </c>
    </row>
    <row r="260" spans="1:11">
      <c r="A260" s="104" t="s">
        <v>509</v>
      </c>
      <c r="B260" s="105" t="s">
        <v>510</v>
      </c>
      <c r="C260" s="183"/>
      <c r="D260" s="106"/>
      <c r="E260" s="107">
        <v>81</v>
      </c>
      <c r="F260" s="107">
        <v>3</v>
      </c>
      <c r="G260" s="107">
        <v>2</v>
      </c>
      <c r="H260" s="184"/>
      <c r="I260" s="108">
        <v>20</v>
      </c>
      <c r="J260" s="46">
        <f>SUM(C260:H260)</f>
        <v>86</v>
      </c>
      <c r="K260" s="232" t="s">
        <v>486</v>
      </c>
    </row>
    <row r="261" spans="1:10">
      <c r="A261" s="104" t="s">
        <v>511</v>
      </c>
      <c r="B261" s="105" t="s">
        <v>512</v>
      </c>
      <c r="C261" s="185"/>
      <c r="D261" s="184"/>
      <c r="E261" s="186">
        <v>17</v>
      </c>
      <c r="F261" s="186">
        <v>1</v>
      </c>
      <c r="G261" s="186">
        <v>200</v>
      </c>
      <c r="H261" s="184">
        <v>25</v>
      </c>
      <c r="I261" s="108">
        <v>20</v>
      </c>
      <c r="J261" s="46">
        <f>SUM(C261:H261)</f>
        <v>243</v>
      </c>
    </row>
    <row r="262" spans="1:10">
      <c r="A262" s="104" t="s">
        <v>513</v>
      </c>
      <c r="B262" s="105" t="s">
        <v>514</v>
      </c>
      <c r="C262" s="185"/>
      <c r="D262" s="184"/>
      <c r="E262" s="186">
        <v>40</v>
      </c>
      <c r="F262" s="186">
        <v>6</v>
      </c>
      <c r="G262" s="186">
        <v>8</v>
      </c>
      <c r="H262" s="107">
        <v>4</v>
      </c>
      <c r="I262" s="108">
        <v>20</v>
      </c>
      <c r="J262" s="46">
        <f>SUM(C262:H262)</f>
        <v>58</v>
      </c>
    </row>
    <row r="263" spans="1:10">
      <c r="A263" s="143" t="s">
        <v>515</v>
      </c>
      <c r="B263" s="105" t="s">
        <v>516</v>
      </c>
      <c r="C263" s="166"/>
      <c r="D263" s="145"/>
      <c r="E263" s="146">
        <v>21</v>
      </c>
      <c r="F263" s="146"/>
      <c r="G263" s="146"/>
      <c r="H263" s="145"/>
      <c r="I263" s="108">
        <v>20</v>
      </c>
      <c r="J263" s="46">
        <f>SUM(C263:H263)</f>
        <v>21</v>
      </c>
    </row>
    <row r="264" spans="1:10">
      <c r="A264" s="104" t="s">
        <v>517</v>
      </c>
      <c r="B264" s="105" t="s">
        <v>518</v>
      </c>
      <c r="C264" s="185"/>
      <c r="D264" s="184"/>
      <c r="E264" s="186">
        <v>23</v>
      </c>
      <c r="F264" s="186">
        <v>4</v>
      </c>
      <c r="G264" s="186">
        <v>4</v>
      </c>
      <c r="H264" s="184"/>
      <c r="I264" s="108">
        <v>20</v>
      </c>
      <c r="J264" s="46">
        <f>SUM(C264:H264)</f>
        <v>31</v>
      </c>
    </row>
    <row r="265" spans="1:10">
      <c r="A265" s="104" t="s">
        <v>519</v>
      </c>
      <c r="B265" s="105" t="s">
        <v>520</v>
      </c>
      <c r="C265" s="185"/>
      <c r="D265" s="184"/>
      <c r="E265" s="186">
        <v>3</v>
      </c>
      <c r="F265" s="186">
        <v>3</v>
      </c>
      <c r="G265" s="186">
        <v>6</v>
      </c>
      <c r="H265" s="184"/>
      <c r="I265" s="108">
        <v>20</v>
      </c>
      <c r="J265" s="46">
        <f>SUM(C265:H265)</f>
        <v>12</v>
      </c>
    </row>
    <row r="266" spans="1:10">
      <c r="A266" s="104" t="s">
        <v>521</v>
      </c>
      <c r="B266" s="105" t="s">
        <v>522</v>
      </c>
      <c r="C266" s="160"/>
      <c r="D266" s="161"/>
      <c r="E266" s="162">
        <v>5</v>
      </c>
      <c r="F266" s="162">
        <v>8</v>
      </c>
      <c r="G266" s="162">
        <v>4</v>
      </c>
      <c r="H266" s="161">
        <v>15</v>
      </c>
      <c r="I266" s="108">
        <v>20</v>
      </c>
      <c r="J266" s="46">
        <f>SUM(C266:H266)</f>
        <v>32</v>
      </c>
    </row>
    <row r="267" spans="1:10">
      <c r="A267" s="104" t="s">
        <v>523</v>
      </c>
      <c r="B267" s="105" t="s">
        <v>524</v>
      </c>
      <c r="C267" s="160"/>
      <c r="D267" s="161"/>
      <c r="E267" s="162">
        <v>39</v>
      </c>
      <c r="F267" s="162">
        <v>18</v>
      </c>
      <c r="G267" s="162">
        <v>40</v>
      </c>
      <c r="H267" s="161"/>
      <c r="I267" s="108">
        <v>20</v>
      </c>
      <c r="J267" s="46">
        <f>SUM(C267:H267)</f>
        <v>97</v>
      </c>
    </row>
    <row r="268" spans="1:10">
      <c r="A268" s="104" t="s">
        <v>525</v>
      </c>
      <c r="B268" s="105" t="s">
        <v>526</v>
      </c>
      <c r="C268" s="160"/>
      <c r="D268" s="161"/>
      <c r="E268" s="162">
        <v>18</v>
      </c>
      <c r="F268" s="162">
        <v>29</v>
      </c>
      <c r="G268" s="162">
        <v>8</v>
      </c>
      <c r="H268" s="161"/>
      <c r="I268" s="108">
        <v>20</v>
      </c>
      <c r="J268" s="46">
        <f>SUM(C268:H268)</f>
        <v>55</v>
      </c>
    </row>
    <row r="269" spans="1:10">
      <c r="A269" s="104" t="s">
        <v>527</v>
      </c>
      <c r="B269" s="105" t="s">
        <v>528</v>
      </c>
      <c r="C269" s="160"/>
      <c r="D269" s="161"/>
      <c r="E269" s="162">
        <v>2</v>
      </c>
      <c r="F269" s="162"/>
      <c r="G269" s="162">
        <v>4</v>
      </c>
      <c r="H269" s="161"/>
      <c r="I269" s="108">
        <v>20</v>
      </c>
      <c r="J269" s="46">
        <f>SUM(C269:H269)</f>
        <v>6</v>
      </c>
    </row>
    <row r="270" spans="1:10">
      <c r="A270" s="104" t="s">
        <v>529</v>
      </c>
      <c r="B270" s="105" t="s">
        <v>530</v>
      </c>
      <c r="C270" s="185"/>
      <c r="D270" s="184"/>
      <c r="E270" s="186"/>
      <c r="F270" s="186"/>
      <c r="G270" s="186"/>
      <c r="H270" s="184"/>
      <c r="I270" s="108">
        <v>20</v>
      </c>
      <c r="J270" s="46">
        <f>SUM(C270:H270)</f>
        <v>0</v>
      </c>
    </row>
    <row r="271" spans="1:10">
      <c r="A271" s="104" t="s">
        <v>531</v>
      </c>
      <c r="B271" s="105" t="s">
        <v>532</v>
      </c>
      <c r="C271" s="185"/>
      <c r="D271" s="184"/>
      <c r="E271" s="186">
        <v>6</v>
      </c>
      <c r="F271" s="186">
        <v>1</v>
      </c>
      <c r="G271" s="186"/>
      <c r="H271" s="184"/>
      <c r="I271" s="108">
        <v>20</v>
      </c>
      <c r="J271" s="46">
        <f>SUM(C271:H271)</f>
        <v>7</v>
      </c>
    </row>
    <row r="272" spans="1:10">
      <c r="A272" s="104" t="s">
        <v>533</v>
      </c>
      <c r="B272" s="105" t="s">
        <v>534</v>
      </c>
      <c r="C272" s="160"/>
      <c r="D272" s="161"/>
      <c r="E272" s="162">
        <v>1</v>
      </c>
      <c r="F272" s="162">
        <v>34</v>
      </c>
      <c r="G272" s="162">
        <v>20</v>
      </c>
      <c r="H272" s="161">
        <v>89</v>
      </c>
      <c r="I272" s="108">
        <v>20</v>
      </c>
      <c r="J272" s="46">
        <f>SUM(C272:H272)</f>
        <v>144</v>
      </c>
    </row>
    <row r="273" spans="1:10">
      <c r="A273" s="104" t="s">
        <v>535</v>
      </c>
      <c r="B273" s="105" t="s">
        <v>536</v>
      </c>
      <c r="C273" s="160"/>
      <c r="D273" s="161"/>
      <c r="E273" s="162">
        <v>15</v>
      </c>
      <c r="F273" s="162">
        <v>11</v>
      </c>
      <c r="G273" s="162">
        <v>10</v>
      </c>
      <c r="H273" s="161"/>
      <c r="I273" s="108">
        <v>20</v>
      </c>
      <c r="J273" s="46">
        <f>SUM(C273:H273)</f>
        <v>36</v>
      </c>
    </row>
    <row r="274" spans="1:10">
      <c r="A274" s="104" t="s">
        <v>537</v>
      </c>
      <c r="B274" s="105" t="s">
        <v>538</v>
      </c>
      <c r="C274" s="160"/>
      <c r="D274" s="161"/>
      <c r="E274" s="162"/>
      <c r="F274" s="162"/>
      <c r="G274" s="162"/>
      <c r="H274" s="161"/>
      <c r="I274" s="108">
        <v>20</v>
      </c>
      <c r="J274" s="46">
        <f>SUM(C274:H274)</f>
        <v>0</v>
      </c>
    </row>
    <row r="275" spans="1:10">
      <c r="A275" s="153" t="s">
        <v>539</v>
      </c>
      <c r="B275" s="154" t="s">
        <v>540</v>
      </c>
      <c r="C275" s="187"/>
      <c r="D275" s="188">
        <v>17</v>
      </c>
      <c r="E275" s="189"/>
      <c r="F275" s="189"/>
      <c r="G275" s="189"/>
      <c r="H275" s="189"/>
      <c r="I275" s="210">
        <v>20</v>
      </c>
      <c r="J275" s="46">
        <f>SUM(C275:H275)</f>
        <v>17</v>
      </c>
    </row>
    <row r="276" spans="1:10">
      <c r="A276" s="190" t="s">
        <v>541</v>
      </c>
      <c r="B276" s="154" t="s">
        <v>542</v>
      </c>
      <c r="C276" s="187"/>
      <c r="D276" s="189"/>
      <c r="E276" s="188"/>
      <c r="F276" s="188"/>
      <c r="G276" s="188"/>
      <c r="H276" s="189"/>
      <c r="I276" s="210">
        <v>20</v>
      </c>
      <c r="J276" s="46">
        <f>SUM(C276:H276)</f>
        <v>0</v>
      </c>
    </row>
    <row r="277" spans="1:10">
      <c r="A277" s="153" t="s">
        <v>543</v>
      </c>
      <c r="B277" s="154" t="s">
        <v>544</v>
      </c>
      <c r="C277" s="191"/>
      <c r="D277" s="192"/>
      <c r="E277" s="192"/>
      <c r="F277" s="192"/>
      <c r="G277" s="192"/>
      <c r="H277" s="192"/>
      <c r="I277" s="210">
        <v>20</v>
      </c>
      <c r="J277" s="46">
        <f>SUM(C277:H277)</f>
        <v>0</v>
      </c>
    </row>
    <row r="278" spans="1:10">
      <c r="A278" s="190" t="s">
        <v>545</v>
      </c>
      <c r="B278" s="193" t="s">
        <v>546</v>
      </c>
      <c r="C278" s="194"/>
      <c r="D278" s="157"/>
      <c r="E278" s="158">
        <v>35</v>
      </c>
      <c r="F278" s="158">
        <v>50</v>
      </c>
      <c r="G278" s="158">
        <v>33</v>
      </c>
      <c r="H278" s="157"/>
      <c r="I278" s="210">
        <v>20</v>
      </c>
      <c r="J278" s="46">
        <f>SUM(C278:H278)</f>
        <v>118</v>
      </c>
    </row>
    <row r="279" spans="1:10">
      <c r="A279" s="190" t="s">
        <v>547</v>
      </c>
      <c r="B279" s="154" t="s">
        <v>548</v>
      </c>
      <c r="C279" s="187"/>
      <c r="D279" s="189"/>
      <c r="E279" s="188"/>
      <c r="F279" s="188"/>
      <c r="G279" s="188"/>
      <c r="H279" s="189"/>
      <c r="I279" s="210">
        <v>20</v>
      </c>
      <c r="J279" s="46">
        <f>SUM(C279:H279)</f>
        <v>0</v>
      </c>
    </row>
    <row r="280" spans="1:10">
      <c r="A280" s="190" t="s">
        <v>549</v>
      </c>
      <c r="B280" s="154" t="s">
        <v>550</v>
      </c>
      <c r="C280" s="191"/>
      <c r="D280" s="195"/>
      <c r="E280" s="195"/>
      <c r="F280" s="195"/>
      <c r="G280" s="195"/>
      <c r="H280" s="195"/>
      <c r="I280" s="210">
        <v>20</v>
      </c>
      <c r="J280" s="46">
        <f>SUM(C280:H280)</f>
        <v>0</v>
      </c>
    </row>
    <row r="281" spans="1:10">
      <c r="A281" s="190" t="s">
        <v>551</v>
      </c>
      <c r="B281" s="193" t="s">
        <v>552</v>
      </c>
      <c r="C281" s="194"/>
      <c r="D281" s="157"/>
      <c r="E281" s="158">
        <v>12</v>
      </c>
      <c r="F281" s="158">
        <v>8</v>
      </c>
      <c r="G281" s="158"/>
      <c r="H281" s="157"/>
      <c r="I281" s="210">
        <v>20</v>
      </c>
      <c r="J281" s="46">
        <f>SUM(C281:H281)</f>
        <v>20</v>
      </c>
    </row>
    <row r="282" spans="1:10">
      <c r="A282" s="190" t="s">
        <v>553</v>
      </c>
      <c r="B282" s="154" t="s">
        <v>554</v>
      </c>
      <c r="C282" s="191">
        <v>47</v>
      </c>
      <c r="D282" s="195"/>
      <c r="E282" s="195"/>
      <c r="F282" s="195"/>
      <c r="G282" s="195"/>
      <c r="H282" s="195"/>
      <c r="I282" s="210">
        <v>20</v>
      </c>
      <c r="J282" s="46">
        <f>SUM(C282:H282)</f>
        <v>47</v>
      </c>
    </row>
    <row r="283" spans="1:10">
      <c r="A283" s="190" t="s">
        <v>555</v>
      </c>
      <c r="B283" s="154" t="s">
        <v>556</v>
      </c>
      <c r="C283" s="191"/>
      <c r="D283" s="195"/>
      <c r="E283" s="195"/>
      <c r="F283" s="195"/>
      <c r="G283" s="195"/>
      <c r="H283" s="195"/>
      <c r="I283" s="210">
        <v>20</v>
      </c>
      <c r="J283" s="46">
        <f>SUM(C283:H283)</f>
        <v>0</v>
      </c>
    </row>
    <row r="284" spans="1:10">
      <c r="A284" s="190" t="s">
        <v>557</v>
      </c>
      <c r="B284" s="154" t="s">
        <v>558</v>
      </c>
      <c r="C284" s="191"/>
      <c r="D284" s="195"/>
      <c r="E284" s="195"/>
      <c r="F284" s="195"/>
      <c r="G284" s="195"/>
      <c r="H284" s="195"/>
      <c r="I284" s="210">
        <v>20</v>
      </c>
      <c r="J284" s="46">
        <f>SUM(C284:H284)</f>
        <v>0</v>
      </c>
    </row>
    <row r="285" spans="1:10">
      <c r="A285" s="153" t="s">
        <v>559</v>
      </c>
      <c r="B285" s="154" t="s">
        <v>560</v>
      </c>
      <c r="C285" s="196"/>
      <c r="D285" s="197"/>
      <c r="E285" s="198"/>
      <c r="F285" s="198"/>
      <c r="G285" s="198"/>
      <c r="H285" s="197"/>
      <c r="I285" s="210">
        <v>20</v>
      </c>
      <c r="J285" s="46">
        <f>SUM(C285:H285)</f>
        <v>0</v>
      </c>
    </row>
    <row r="286" ht="15.75" spans="1:10">
      <c r="A286" s="199" t="s">
        <v>561</v>
      </c>
      <c r="B286" s="168" t="s">
        <v>562</v>
      </c>
      <c r="C286" s="200"/>
      <c r="D286" s="201"/>
      <c r="E286" s="202">
        <v>126</v>
      </c>
      <c r="F286" s="202"/>
      <c r="G286" s="202"/>
      <c r="H286" s="201"/>
      <c r="I286" s="178">
        <v>20</v>
      </c>
      <c r="J286" s="46">
        <f>SUM(C286:H286)</f>
        <v>126</v>
      </c>
    </row>
    <row r="287" spans="1:10">
      <c r="A287" s="172" t="s">
        <v>563</v>
      </c>
      <c r="B287" s="173" t="s">
        <v>564</v>
      </c>
      <c r="C287" s="203"/>
      <c r="D287" s="204"/>
      <c r="E287" s="205">
        <v>4</v>
      </c>
      <c r="F287" s="205">
        <v>11</v>
      </c>
      <c r="G287" s="205">
        <v>22</v>
      </c>
      <c r="H287" s="204">
        <v>1</v>
      </c>
      <c r="I287" s="179">
        <v>20</v>
      </c>
      <c r="J287" s="46">
        <f>SUM(C287:H287)</f>
        <v>38</v>
      </c>
    </row>
    <row r="288" spans="1:10">
      <c r="A288" s="143" t="s">
        <v>565</v>
      </c>
      <c r="B288" s="105" t="s">
        <v>566</v>
      </c>
      <c r="C288" s="166"/>
      <c r="D288" s="145"/>
      <c r="E288" s="162"/>
      <c r="F288" s="162"/>
      <c r="G288" s="162"/>
      <c r="H288" s="145"/>
      <c r="I288" s="108">
        <v>20</v>
      </c>
      <c r="J288" s="46">
        <f>SUM(C288:H288)</f>
        <v>0</v>
      </c>
    </row>
    <row r="289" spans="1:10">
      <c r="A289" s="143" t="s">
        <v>567</v>
      </c>
      <c r="B289" s="105" t="s">
        <v>568</v>
      </c>
      <c r="C289" s="163"/>
      <c r="D289" s="164"/>
      <c r="E289" s="164"/>
      <c r="F289" s="164"/>
      <c r="G289" s="164"/>
      <c r="H289" s="164"/>
      <c r="I289" s="108">
        <v>20</v>
      </c>
      <c r="J289" s="46">
        <f>SUM(C289:H289)</f>
        <v>0</v>
      </c>
    </row>
    <row r="290" spans="1:10">
      <c r="A290" s="104" t="s">
        <v>569</v>
      </c>
      <c r="B290" s="105" t="s">
        <v>570</v>
      </c>
      <c r="C290" s="163"/>
      <c r="D290" s="164"/>
      <c r="E290" s="164"/>
      <c r="F290" s="164"/>
      <c r="G290" s="164"/>
      <c r="H290" s="164"/>
      <c r="I290" s="108">
        <v>20</v>
      </c>
      <c r="J290" s="46">
        <f>SUM(C290:H290)</f>
        <v>0</v>
      </c>
    </row>
    <row r="291" spans="1:10">
      <c r="A291" s="143" t="s">
        <v>571</v>
      </c>
      <c r="B291" s="105" t="s">
        <v>572</v>
      </c>
      <c r="C291" s="163"/>
      <c r="D291" s="164"/>
      <c r="E291" s="164"/>
      <c r="F291" s="164"/>
      <c r="G291" s="164"/>
      <c r="H291" s="164"/>
      <c r="I291" s="108">
        <v>20</v>
      </c>
      <c r="J291" s="46">
        <f>SUM(C291:H291)</f>
        <v>0</v>
      </c>
    </row>
    <row r="292" spans="1:10">
      <c r="A292" s="143" t="s">
        <v>573</v>
      </c>
      <c r="B292" s="105" t="s">
        <v>574</v>
      </c>
      <c r="C292" s="163"/>
      <c r="D292" s="164"/>
      <c r="E292" s="164"/>
      <c r="F292" s="164"/>
      <c r="G292" s="164"/>
      <c r="H292" s="164"/>
      <c r="I292" s="108">
        <v>20</v>
      </c>
      <c r="J292" s="46">
        <f>SUM(C292:H292)</f>
        <v>0</v>
      </c>
    </row>
    <row r="293" spans="1:10">
      <c r="A293" s="104" t="s">
        <v>575</v>
      </c>
      <c r="B293" s="105" t="s">
        <v>576</v>
      </c>
      <c r="C293" s="163"/>
      <c r="D293" s="164"/>
      <c r="E293" s="164"/>
      <c r="F293" s="164"/>
      <c r="G293" s="164"/>
      <c r="H293" s="164"/>
      <c r="I293" s="108">
        <v>20</v>
      </c>
      <c r="J293" s="46">
        <f>SUM(C293:H293)</f>
        <v>0</v>
      </c>
    </row>
    <row r="294" spans="1:10">
      <c r="A294" s="104" t="s">
        <v>577</v>
      </c>
      <c r="B294" s="105" t="s">
        <v>578</v>
      </c>
      <c r="C294" s="163"/>
      <c r="D294" s="164"/>
      <c r="E294" s="164"/>
      <c r="F294" s="164"/>
      <c r="G294" s="164"/>
      <c r="H294" s="164"/>
      <c r="I294" s="108">
        <v>20</v>
      </c>
      <c r="J294" s="46">
        <f>SUM(C294:H294)</f>
        <v>0</v>
      </c>
    </row>
    <row r="295" spans="1:10">
      <c r="A295" s="143" t="s">
        <v>579</v>
      </c>
      <c r="B295" s="105" t="s">
        <v>580</v>
      </c>
      <c r="C295" s="166"/>
      <c r="D295" s="145"/>
      <c r="E295" s="162"/>
      <c r="F295" s="162"/>
      <c r="G295" s="162"/>
      <c r="H295" s="145"/>
      <c r="I295" s="108">
        <v>20</v>
      </c>
      <c r="J295" s="46">
        <f>SUM(C295:H295)</f>
        <v>0</v>
      </c>
    </row>
    <row r="296" spans="1:10">
      <c r="A296" s="104" t="s">
        <v>581</v>
      </c>
      <c r="B296" s="105" t="s">
        <v>582</v>
      </c>
      <c r="C296" s="163"/>
      <c r="D296" s="164"/>
      <c r="E296" s="164"/>
      <c r="F296" s="164"/>
      <c r="G296" s="164"/>
      <c r="H296" s="164"/>
      <c r="I296" s="108">
        <v>20</v>
      </c>
      <c r="J296" s="46">
        <f>SUM(C296:H296)</f>
        <v>0</v>
      </c>
    </row>
    <row r="297" spans="1:10">
      <c r="A297" s="104" t="s">
        <v>583</v>
      </c>
      <c r="B297" s="105" t="s">
        <v>584</v>
      </c>
      <c r="C297" s="163"/>
      <c r="D297" s="164"/>
      <c r="E297" s="164"/>
      <c r="F297" s="164"/>
      <c r="G297" s="164"/>
      <c r="H297" s="164"/>
      <c r="I297" s="108">
        <v>20</v>
      </c>
      <c r="J297" s="46">
        <f>SUM(C297:H297)</f>
        <v>0</v>
      </c>
    </row>
    <row r="298" spans="1:10">
      <c r="A298" s="143" t="s">
        <v>585</v>
      </c>
      <c r="B298" s="105" t="s">
        <v>586</v>
      </c>
      <c r="C298" s="163"/>
      <c r="D298" s="145"/>
      <c r="E298" s="145"/>
      <c r="F298" s="145"/>
      <c r="G298" s="145"/>
      <c r="H298" s="145"/>
      <c r="I298" s="108">
        <v>20</v>
      </c>
      <c r="J298" s="46">
        <f>SUM(C298:H298)</f>
        <v>0</v>
      </c>
    </row>
    <row r="299" spans="1:10">
      <c r="A299" s="143" t="s">
        <v>587</v>
      </c>
      <c r="B299" s="105" t="s">
        <v>588</v>
      </c>
      <c r="C299" s="166"/>
      <c r="D299" s="146">
        <v>61</v>
      </c>
      <c r="E299" s="162">
        <v>96</v>
      </c>
      <c r="F299" s="162">
        <v>55</v>
      </c>
      <c r="G299" s="162">
        <v>45</v>
      </c>
      <c r="H299" s="145"/>
      <c r="I299" s="108">
        <v>20</v>
      </c>
      <c r="J299" s="46">
        <f>SUM(C299:H299)</f>
        <v>257</v>
      </c>
    </row>
    <row r="300" spans="1:10">
      <c r="A300" s="104" t="s">
        <v>589</v>
      </c>
      <c r="B300" s="105" t="s">
        <v>590</v>
      </c>
      <c r="C300" s="160"/>
      <c r="D300" s="161"/>
      <c r="E300" s="162">
        <v>1</v>
      </c>
      <c r="F300" s="162">
        <v>3</v>
      </c>
      <c r="G300" s="162">
        <v>1</v>
      </c>
      <c r="H300" s="146">
        <v>0</v>
      </c>
      <c r="I300" s="108">
        <v>20</v>
      </c>
      <c r="J300" s="46">
        <f>SUM(C300:H300)</f>
        <v>5</v>
      </c>
    </row>
    <row r="301" spans="1:10">
      <c r="A301" s="143" t="s">
        <v>591</v>
      </c>
      <c r="B301" s="144" t="s">
        <v>592</v>
      </c>
      <c r="C301" s="185"/>
      <c r="D301" s="184"/>
      <c r="E301" s="107">
        <v>27</v>
      </c>
      <c r="F301" s="107"/>
      <c r="G301" s="107"/>
      <c r="H301" s="107"/>
      <c r="I301" s="108">
        <v>20</v>
      </c>
      <c r="J301" s="46">
        <f>SUM(C301:H301)</f>
        <v>27</v>
      </c>
    </row>
    <row r="302" spans="1:10">
      <c r="A302" s="104" t="s">
        <v>593</v>
      </c>
      <c r="B302" s="105" t="s">
        <v>594</v>
      </c>
      <c r="C302" s="160"/>
      <c r="D302" s="161"/>
      <c r="E302" s="162">
        <v>20</v>
      </c>
      <c r="F302" s="162">
        <v>41</v>
      </c>
      <c r="G302" s="162">
        <v>71</v>
      </c>
      <c r="H302" s="146">
        <v>42</v>
      </c>
      <c r="I302" s="108">
        <v>20</v>
      </c>
      <c r="J302" s="46">
        <f>SUM(C302:H302)</f>
        <v>174</v>
      </c>
    </row>
    <row r="303" spans="1:10">
      <c r="A303" s="104" t="s">
        <v>595</v>
      </c>
      <c r="B303" s="105" t="s">
        <v>596</v>
      </c>
      <c r="C303" s="160"/>
      <c r="D303" s="161"/>
      <c r="E303" s="162">
        <v>176</v>
      </c>
      <c r="F303" s="162">
        <v>55</v>
      </c>
      <c r="G303" s="162">
        <v>22</v>
      </c>
      <c r="H303" s="146"/>
      <c r="I303" s="108">
        <v>20</v>
      </c>
      <c r="J303" s="46">
        <f>SUM(C303:H303)</f>
        <v>253</v>
      </c>
    </row>
    <row r="304" spans="1:10">
      <c r="A304" s="104" t="s">
        <v>597</v>
      </c>
      <c r="B304" s="105" t="s">
        <v>598</v>
      </c>
      <c r="C304" s="160"/>
      <c r="D304" s="161"/>
      <c r="E304" s="162">
        <v>24</v>
      </c>
      <c r="F304" s="162">
        <v>6</v>
      </c>
      <c r="G304" s="162"/>
      <c r="H304" s="146">
        <v>14</v>
      </c>
      <c r="I304" s="108">
        <v>20</v>
      </c>
      <c r="J304" s="46">
        <f>SUM(C304:H304)</f>
        <v>44</v>
      </c>
    </row>
    <row r="305" spans="1:10">
      <c r="A305" s="87" t="s">
        <v>599</v>
      </c>
      <c r="B305" s="96" t="s">
        <v>600</v>
      </c>
      <c r="C305" s="206"/>
      <c r="D305" s="90"/>
      <c r="E305" s="90"/>
      <c r="F305" s="91"/>
      <c r="G305" s="91"/>
      <c r="H305" s="91"/>
      <c r="I305" s="97"/>
      <c r="J305" s="46">
        <f>SUM(C305:H305)</f>
        <v>0</v>
      </c>
    </row>
    <row r="306" spans="1:10">
      <c r="A306" s="143" t="s">
        <v>601</v>
      </c>
      <c r="B306" s="144" t="s">
        <v>602</v>
      </c>
      <c r="C306" s="185"/>
      <c r="D306" s="184"/>
      <c r="E306" s="107">
        <v>25</v>
      </c>
      <c r="F306" s="107">
        <v>11</v>
      </c>
      <c r="G306" s="107">
        <v>3</v>
      </c>
      <c r="H306" s="107">
        <v>5</v>
      </c>
      <c r="I306" s="108">
        <v>20</v>
      </c>
      <c r="J306" s="46">
        <f>SUM(C306:H306)</f>
        <v>44</v>
      </c>
    </row>
    <row r="307" spans="1:10">
      <c r="A307" s="104" t="s">
        <v>603</v>
      </c>
      <c r="B307" s="105" t="s">
        <v>604</v>
      </c>
      <c r="C307" s="185"/>
      <c r="D307" s="184"/>
      <c r="E307" s="186">
        <v>113</v>
      </c>
      <c r="F307" s="186">
        <v>13</v>
      </c>
      <c r="G307" s="186">
        <v>15</v>
      </c>
      <c r="H307" s="107"/>
      <c r="I307" s="108">
        <v>20</v>
      </c>
      <c r="J307" s="46">
        <f>SUM(C307:H307)</f>
        <v>141</v>
      </c>
    </row>
    <row r="308" spans="1:10">
      <c r="A308" s="104" t="s">
        <v>605</v>
      </c>
      <c r="B308" s="105" t="s">
        <v>606</v>
      </c>
      <c r="C308" s="160"/>
      <c r="D308" s="161"/>
      <c r="E308" s="162">
        <v>2</v>
      </c>
      <c r="F308" s="162">
        <v>4</v>
      </c>
      <c r="G308" s="162">
        <v>5</v>
      </c>
      <c r="H308" s="146">
        <v>4</v>
      </c>
      <c r="I308" s="108">
        <v>20</v>
      </c>
      <c r="J308" s="46">
        <f>SUM(C308:H308)</f>
        <v>15</v>
      </c>
    </row>
    <row r="309" spans="1:10">
      <c r="A309" s="104" t="s">
        <v>607</v>
      </c>
      <c r="B309" s="105" t="s">
        <v>608</v>
      </c>
      <c r="C309" s="160"/>
      <c r="D309" s="161"/>
      <c r="E309" s="162">
        <v>35</v>
      </c>
      <c r="F309" s="162">
        <v>21</v>
      </c>
      <c r="G309" s="162">
        <v>34</v>
      </c>
      <c r="H309" s="146">
        <v>40</v>
      </c>
      <c r="I309" s="108">
        <v>20</v>
      </c>
      <c r="J309" s="46">
        <f>SUM(C309:H309)</f>
        <v>130</v>
      </c>
    </row>
    <row r="310" spans="1:10">
      <c r="A310" s="104" t="s">
        <v>609</v>
      </c>
      <c r="B310" s="105" t="s">
        <v>610</v>
      </c>
      <c r="C310" s="185"/>
      <c r="D310" s="184"/>
      <c r="E310" s="186">
        <v>22</v>
      </c>
      <c r="F310" s="186">
        <v>7</v>
      </c>
      <c r="G310" s="186"/>
      <c r="H310" s="107"/>
      <c r="I310" s="108">
        <v>20</v>
      </c>
      <c r="J310" s="46">
        <f>SUM(C310:H310)</f>
        <v>29</v>
      </c>
    </row>
    <row r="311" spans="1:10">
      <c r="A311" s="104" t="s">
        <v>611</v>
      </c>
      <c r="B311" s="105" t="s">
        <v>612</v>
      </c>
      <c r="C311" s="166"/>
      <c r="D311" s="146"/>
      <c r="E311" s="145"/>
      <c r="F311" s="145"/>
      <c r="G311" s="145"/>
      <c r="H311" s="145"/>
      <c r="I311" s="108">
        <v>20</v>
      </c>
      <c r="J311" s="46">
        <f>SUM(C311:H311)</f>
        <v>0</v>
      </c>
    </row>
    <row r="312" spans="1:10">
      <c r="A312" s="104" t="s">
        <v>613</v>
      </c>
      <c r="B312" s="105" t="s">
        <v>614</v>
      </c>
      <c r="C312" s="207"/>
      <c r="D312" s="208"/>
      <c r="E312" s="208"/>
      <c r="F312" s="107"/>
      <c r="G312" s="107"/>
      <c r="H312" s="107"/>
      <c r="I312" s="108">
        <v>20</v>
      </c>
      <c r="J312" s="46">
        <f>SUM(C312:H312)</f>
        <v>0</v>
      </c>
    </row>
    <row r="313" spans="1:10">
      <c r="A313" s="104" t="s">
        <v>615</v>
      </c>
      <c r="B313" s="105" t="s">
        <v>616</v>
      </c>
      <c r="C313" s="207"/>
      <c r="D313" s="208"/>
      <c r="E313" s="208"/>
      <c r="F313" s="107"/>
      <c r="G313" s="107"/>
      <c r="H313" s="107"/>
      <c r="I313" s="108">
        <v>20</v>
      </c>
      <c r="J313" s="46">
        <f>SUM(C313:H313)</f>
        <v>0</v>
      </c>
    </row>
    <row r="314" spans="1:10">
      <c r="A314" s="104" t="s">
        <v>617</v>
      </c>
      <c r="B314" s="105" t="s">
        <v>618</v>
      </c>
      <c r="C314" s="185"/>
      <c r="D314" s="184"/>
      <c r="E314" s="186">
        <v>13</v>
      </c>
      <c r="F314" s="186">
        <v>10</v>
      </c>
      <c r="G314" s="186">
        <v>12</v>
      </c>
      <c r="H314" s="107">
        <v>59</v>
      </c>
      <c r="I314" s="108">
        <v>20</v>
      </c>
      <c r="J314" s="46">
        <f>SUM(C314:H314)</f>
        <v>94</v>
      </c>
    </row>
    <row r="315" spans="1:10">
      <c r="A315" s="104" t="s">
        <v>619</v>
      </c>
      <c r="B315" s="105" t="s">
        <v>620</v>
      </c>
      <c r="C315" s="185"/>
      <c r="D315" s="184"/>
      <c r="E315" s="186"/>
      <c r="F315" s="209"/>
      <c r="G315" s="209"/>
      <c r="H315" s="107"/>
      <c r="I315" s="108">
        <v>20</v>
      </c>
      <c r="J315" s="46">
        <f>SUM(C315:H315)</f>
        <v>0</v>
      </c>
    </row>
    <row r="316" spans="1:10">
      <c r="A316" s="104" t="s">
        <v>621</v>
      </c>
      <c r="B316" s="105" t="s">
        <v>622</v>
      </c>
      <c r="C316" s="163"/>
      <c r="D316" s="164"/>
      <c r="E316" s="164"/>
      <c r="F316" s="164"/>
      <c r="G316" s="164"/>
      <c r="H316" s="164"/>
      <c r="I316" s="108">
        <v>20</v>
      </c>
      <c r="J316" s="46">
        <f>SUM(C316:H316)</f>
        <v>0</v>
      </c>
    </row>
    <row r="317" spans="1:10">
      <c r="A317" s="104" t="s">
        <v>623</v>
      </c>
      <c r="B317" s="105" t="s">
        <v>624</v>
      </c>
      <c r="C317" s="163"/>
      <c r="D317" s="164"/>
      <c r="E317" s="164"/>
      <c r="F317" s="164"/>
      <c r="G317" s="164"/>
      <c r="H317" s="164"/>
      <c r="I317" s="108">
        <v>20</v>
      </c>
      <c r="J317" s="46">
        <f>SUM(C317:H317)</f>
        <v>0</v>
      </c>
    </row>
    <row r="318" spans="1:10">
      <c r="A318" s="104" t="s">
        <v>625</v>
      </c>
      <c r="B318" s="105" t="s">
        <v>626</v>
      </c>
      <c r="C318" s="163"/>
      <c r="D318" s="164"/>
      <c r="E318" s="164"/>
      <c r="F318" s="164"/>
      <c r="G318" s="164"/>
      <c r="H318" s="164"/>
      <c r="I318" s="108">
        <v>20</v>
      </c>
      <c r="J318" s="46">
        <f>SUM(C318:H318)</f>
        <v>0</v>
      </c>
    </row>
    <row r="319" spans="1:10">
      <c r="A319" s="104" t="s">
        <v>627</v>
      </c>
      <c r="B319" s="105" t="s">
        <v>628</v>
      </c>
      <c r="C319" s="163"/>
      <c r="D319" s="164"/>
      <c r="E319" s="164"/>
      <c r="F319" s="164"/>
      <c r="G319" s="164"/>
      <c r="H319" s="164"/>
      <c r="I319" s="108">
        <v>20</v>
      </c>
      <c r="J319" s="46">
        <f>SUM(C319:H319)</f>
        <v>0</v>
      </c>
    </row>
    <row r="320" spans="1:10">
      <c r="A320" s="104" t="s">
        <v>629</v>
      </c>
      <c r="B320" s="105" t="s">
        <v>630</v>
      </c>
      <c r="C320" s="163"/>
      <c r="D320" s="164"/>
      <c r="E320" s="164"/>
      <c r="F320" s="164"/>
      <c r="G320" s="164"/>
      <c r="H320" s="164"/>
      <c r="I320" s="108">
        <v>20</v>
      </c>
      <c r="J320" s="46">
        <f>SUM(C320:H320)</f>
        <v>0</v>
      </c>
    </row>
    <row r="321" spans="1:10">
      <c r="A321" s="104" t="s">
        <v>631</v>
      </c>
      <c r="B321" s="105" t="s">
        <v>632</v>
      </c>
      <c r="C321" s="163"/>
      <c r="D321" s="164"/>
      <c r="E321" s="164"/>
      <c r="F321" s="164"/>
      <c r="G321" s="164"/>
      <c r="H321" s="164"/>
      <c r="I321" s="108">
        <v>20</v>
      </c>
      <c r="J321" s="46">
        <f>SUM(C321:H321)</f>
        <v>0</v>
      </c>
    </row>
    <row r="322" spans="1:10">
      <c r="A322" s="104" t="s">
        <v>633</v>
      </c>
      <c r="B322" s="105" t="s">
        <v>634</v>
      </c>
      <c r="C322" s="163"/>
      <c r="D322" s="164"/>
      <c r="E322" s="164"/>
      <c r="F322" s="164"/>
      <c r="G322" s="164"/>
      <c r="H322" s="164"/>
      <c r="I322" s="108">
        <v>20</v>
      </c>
      <c r="J322" s="46">
        <f>SUM(C322:H322)</f>
        <v>0</v>
      </c>
    </row>
    <row r="323" spans="1:10">
      <c r="A323" s="104" t="s">
        <v>635</v>
      </c>
      <c r="B323" s="105" t="s">
        <v>636</v>
      </c>
      <c r="C323" s="183"/>
      <c r="D323" s="106"/>
      <c r="E323" s="186">
        <v>10</v>
      </c>
      <c r="F323" s="186">
        <v>3</v>
      </c>
      <c r="G323" s="186">
        <v>7</v>
      </c>
      <c r="H323" s="184"/>
      <c r="I323" s="108">
        <v>20</v>
      </c>
      <c r="J323" s="46">
        <f>SUM(C323:H323)</f>
        <v>20</v>
      </c>
    </row>
    <row r="324" spans="1:10">
      <c r="A324" s="104" t="s">
        <v>637</v>
      </c>
      <c r="B324" s="105" t="s">
        <v>638</v>
      </c>
      <c r="C324" s="163"/>
      <c r="D324" s="164"/>
      <c r="E324" s="164"/>
      <c r="F324" s="164"/>
      <c r="G324" s="164"/>
      <c r="H324" s="164"/>
      <c r="I324" s="108">
        <v>20</v>
      </c>
      <c r="J324" s="46">
        <f>SUM(C324:H324)</f>
        <v>0</v>
      </c>
    </row>
    <row r="325" spans="1:10">
      <c r="A325" s="104" t="s">
        <v>639</v>
      </c>
      <c r="B325" s="105" t="s">
        <v>640</v>
      </c>
      <c r="C325" s="211"/>
      <c r="D325" s="146"/>
      <c r="E325" s="146"/>
      <c r="F325" s="181"/>
      <c r="G325" s="181"/>
      <c r="H325" s="181"/>
      <c r="I325" s="108">
        <v>20</v>
      </c>
      <c r="J325" s="46">
        <f>SUM(C325:H325)</f>
        <v>0</v>
      </c>
    </row>
    <row r="326" spans="1:10">
      <c r="A326" s="104" t="s">
        <v>641</v>
      </c>
      <c r="B326" s="105" t="s">
        <v>642</v>
      </c>
      <c r="C326" s="166"/>
      <c r="D326" s="145"/>
      <c r="E326" s="146"/>
      <c r="F326" s="146"/>
      <c r="G326" s="146"/>
      <c r="H326" s="145"/>
      <c r="I326" s="108">
        <v>20</v>
      </c>
      <c r="J326" s="46">
        <f>SUM(C326:H326)</f>
        <v>0</v>
      </c>
    </row>
    <row r="327" spans="1:10">
      <c r="A327" s="104" t="s">
        <v>643</v>
      </c>
      <c r="B327" s="105" t="s">
        <v>644</v>
      </c>
      <c r="C327" s="166"/>
      <c r="D327" s="145"/>
      <c r="E327" s="146"/>
      <c r="F327" s="146"/>
      <c r="G327" s="146"/>
      <c r="H327" s="145"/>
      <c r="I327" s="108">
        <v>20</v>
      </c>
      <c r="J327" s="46">
        <f>SUM(C327:H327)</f>
        <v>0</v>
      </c>
    </row>
    <row r="328" spans="1:10">
      <c r="A328" s="104" t="s">
        <v>645</v>
      </c>
      <c r="B328" s="105" t="s">
        <v>646</v>
      </c>
      <c r="C328" s="163">
        <v>9</v>
      </c>
      <c r="D328" s="145"/>
      <c r="E328" s="145"/>
      <c r="F328" s="145"/>
      <c r="G328" s="145"/>
      <c r="H328" s="145"/>
      <c r="I328" s="108">
        <v>20</v>
      </c>
      <c r="J328" s="46">
        <f>SUM(C328:H328)</f>
        <v>9</v>
      </c>
    </row>
    <row r="329" ht="15.75" spans="1:10">
      <c r="A329" s="199" t="s">
        <v>647</v>
      </c>
      <c r="B329" s="168" t="s">
        <v>648</v>
      </c>
      <c r="C329" s="212"/>
      <c r="D329" s="171"/>
      <c r="E329" s="171"/>
      <c r="F329" s="171"/>
      <c r="G329" s="171"/>
      <c r="H329" s="171"/>
      <c r="I329" s="178">
        <v>20</v>
      </c>
      <c r="J329" s="46">
        <f>SUM(C329:H329)</f>
        <v>0</v>
      </c>
    </row>
    <row r="330" spans="1:10">
      <c r="A330" s="213" t="s">
        <v>649</v>
      </c>
      <c r="B330" s="173" t="s">
        <v>650</v>
      </c>
      <c r="C330" s="174"/>
      <c r="D330" s="204"/>
      <c r="E330" s="204"/>
      <c r="F330" s="204"/>
      <c r="G330" s="204"/>
      <c r="H330" s="204"/>
      <c r="I330" s="179">
        <v>20</v>
      </c>
      <c r="J330" s="46">
        <f>SUM(C330:H330)</f>
        <v>0</v>
      </c>
    </row>
    <row r="331" spans="1:10">
      <c r="A331" s="104" t="s">
        <v>651</v>
      </c>
      <c r="B331" s="105" t="s">
        <v>652</v>
      </c>
      <c r="C331" s="166"/>
      <c r="D331" s="145"/>
      <c r="E331" s="162"/>
      <c r="F331" s="162"/>
      <c r="G331" s="162"/>
      <c r="H331" s="145"/>
      <c r="I331" s="108">
        <v>20</v>
      </c>
      <c r="J331" s="46">
        <f>SUM(C331:H331)</f>
        <v>0</v>
      </c>
    </row>
    <row r="332" spans="1:10">
      <c r="A332" s="104" t="s">
        <v>653</v>
      </c>
      <c r="B332" s="105" t="s">
        <v>654</v>
      </c>
      <c r="C332" s="160"/>
      <c r="D332" s="161"/>
      <c r="E332" s="162">
        <v>5</v>
      </c>
      <c r="F332" s="162">
        <v>3</v>
      </c>
      <c r="G332" s="162">
        <v>3</v>
      </c>
      <c r="H332" s="161"/>
      <c r="I332" s="108">
        <v>20</v>
      </c>
      <c r="J332" s="46">
        <f>SUM(C332:H332)</f>
        <v>11</v>
      </c>
    </row>
    <row r="333" spans="1:10">
      <c r="A333" s="104" t="s">
        <v>655</v>
      </c>
      <c r="B333" s="105" t="s">
        <v>656</v>
      </c>
      <c r="C333" s="160"/>
      <c r="D333" s="161"/>
      <c r="E333" s="162">
        <v>10</v>
      </c>
      <c r="F333" s="162"/>
      <c r="G333" s="162">
        <v>2</v>
      </c>
      <c r="H333" s="161"/>
      <c r="I333" s="108">
        <v>20</v>
      </c>
      <c r="J333" s="46">
        <f>SUM(C333:H333)</f>
        <v>12</v>
      </c>
    </row>
    <row r="334" spans="1:10">
      <c r="A334" s="104" t="s">
        <v>657</v>
      </c>
      <c r="B334" s="105" t="s">
        <v>658</v>
      </c>
      <c r="C334" s="160"/>
      <c r="D334" s="161"/>
      <c r="E334" s="162"/>
      <c r="F334" s="162"/>
      <c r="G334" s="162"/>
      <c r="H334" s="161"/>
      <c r="I334" s="108">
        <v>20</v>
      </c>
      <c r="J334" s="46">
        <f>SUM(C334:H334)</f>
        <v>0</v>
      </c>
    </row>
    <row r="335" spans="1:10">
      <c r="A335" s="104" t="s">
        <v>659</v>
      </c>
      <c r="B335" s="105" t="s">
        <v>660</v>
      </c>
      <c r="C335" s="160"/>
      <c r="D335" s="161"/>
      <c r="E335" s="162"/>
      <c r="F335" s="162"/>
      <c r="G335" s="162"/>
      <c r="H335" s="161"/>
      <c r="I335" s="108">
        <v>20</v>
      </c>
      <c r="J335" s="46">
        <f>SUM(C335:H335)</f>
        <v>0</v>
      </c>
    </row>
    <row r="336" spans="1:10">
      <c r="A336" s="104" t="s">
        <v>661</v>
      </c>
      <c r="B336" s="105" t="s">
        <v>662</v>
      </c>
      <c r="C336" s="160"/>
      <c r="D336" s="161"/>
      <c r="E336" s="162">
        <v>8</v>
      </c>
      <c r="F336" s="162">
        <v>5</v>
      </c>
      <c r="G336" s="162">
        <v>10</v>
      </c>
      <c r="H336" s="161"/>
      <c r="I336" s="108">
        <v>20</v>
      </c>
      <c r="J336" s="46">
        <f>SUM(C336:H336)</f>
        <v>23</v>
      </c>
    </row>
    <row r="337" spans="1:10">
      <c r="A337" s="104" t="s">
        <v>663</v>
      </c>
      <c r="B337" s="105" t="s">
        <v>664</v>
      </c>
      <c r="C337" s="160"/>
      <c r="D337" s="161"/>
      <c r="E337" s="162">
        <v>2</v>
      </c>
      <c r="F337" s="162">
        <v>13</v>
      </c>
      <c r="G337" s="162">
        <v>8</v>
      </c>
      <c r="H337" s="161">
        <v>1</v>
      </c>
      <c r="I337" s="108">
        <v>20</v>
      </c>
      <c r="J337" s="46">
        <f>SUM(C337:H337)</f>
        <v>24</v>
      </c>
    </row>
    <row r="338" spans="1:10">
      <c r="A338" s="104" t="s">
        <v>665</v>
      </c>
      <c r="B338" s="105" t="s">
        <v>666</v>
      </c>
      <c r="C338" s="163"/>
      <c r="D338" s="145"/>
      <c r="E338" s="145"/>
      <c r="F338" s="145"/>
      <c r="G338" s="145"/>
      <c r="H338" s="145"/>
      <c r="I338" s="108">
        <v>20</v>
      </c>
      <c r="J338" s="46">
        <f>SUM(C338:H338)</f>
        <v>0</v>
      </c>
    </row>
    <row r="339" spans="1:10">
      <c r="A339" s="104" t="s">
        <v>667</v>
      </c>
      <c r="B339" s="105" t="s">
        <v>668</v>
      </c>
      <c r="C339" s="166"/>
      <c r="D339" s="145"/>
      <c r="E339" s="162">
        <v>1</v>
      </c>
      <c r="F339" s="162"/>
      <c r="G339" s="162">
        <v>2</v>
      </c>
      <c r="H339" s="145">
        <v>1</v>
      </c>
      <c r="I339" s="108">
        <v>20</v>
      </c>
      <c r="J339" s="46">
        <f>SUM(C339:H339)</f>
        <v>4</v>
      </c>
    </row>
    <row r="340" spans="1:10">
      <c r="A340" s="104" t="s">
        <v>669</v>
      </c>
      <c r="B340" s="105" t="s">
        <v>670</v>
      </c>
      <c r="C340" s="183"/>
      <c r="D340" s="106"/>
      <c r="E340" s="186">
        <v>10</v>
      </c>
      <c r="F340" s="186"/>
      <c r="G340" s="186">
        <v>4</v>
      </c>
      <c r="H340" s="184"/>
      <c r="I340" s="108">
        <v>20</v>
      </c>
      <c r="J340" s="46">
        <f>SUM(C340:H340)</f>
        <v>14</v>
      </c>
    </row>
    <row r="341" spans="1:10">
      <c r="A341" s="104" t="s">
        <v>671</v>
      </c>
      <c r="B341" s="105" t="s">
        <v>672</v>
      </c>
      <c r="C341" s="163">
        <v>18</v>
      </c>
      <c r="D341" s="145"/>
      <c r="E341" s="145"/>
      <c r="F341" s="145"/>
      <c r="G341" s="145"/>
      <c r="H341" s="145"/>
      <c r="I341" s="108">
        <v>20</v>
      </c>
      <c r="J341" s="46">
        <f>SUM(C341:H341)</f>
        <v>18</v>
      </c>
    </row>
    <row r="342" spans="1:10">
      <c r="A342" s="104" t="s">
        <v>673</v>
      </c>
      <c r="B342" s="105" t="s">
        <v>674</v>
      </c>
      <c r="C342" s="163">
        <v>4</v>
      </c>
      <c r="D342" s="145"/>
      <c r="E342" s="145"/>
      <c r="F342" s="145"/>
      <c r="G342" s="145"/>
      <c r="H342" s="145"/>
      <c r="I342" s="108">
        <v>20</v>
      </c>
      <c r="J342" s="46">
        <f>SUM(C342:H342)</f>
        <v>4</v>
      </c>
    </row>
    <row r="343" spans="1:10">
      <c r="A343" s="104" t="s">
        <v>675</v>
      </c>
      <c r="B343" s="105" t="s">
        <v>676</v>
      </c>
      <c r="C343" s="185"/>
      <c r="D343" s="184"/>
      <c r="E343" s="186"/>
      <c r="F343" s="186"/>
      <c r="G343" s="186"/>
      <c r="H343" s="107"/>
      <c r="I343" s="108">
        <v>20</v>
      </c>
      <c r="J343" s="46">
        <f>SUM(C343:H343)</f>
        <v>0</v>
      </c>
    </row>
    <row r="344" spans="1:10">
      <c r="A344" s="143" t="s">
        <v>677</v>
      </c>
      <c r="B344" s="144" t="s">
        <v>678</v>
      </c>
      <c r="C344" s="163"/>
      <c r="D344" s="164"/>
      <c r="E344" s="164"/>
      <c r="F344" s="164"/>
      <c r="G344" s="164"/>
      <c r="H344" s="164"/>
      <c r="I344" s="108">
        <v>20</v>
      </c>
      <c r="J344" s="46">
        <f>SUM(C344:H344)</f>
        <v>0</v>
      </c>
    </row>
    <row r="345" spans="1:10">
      <c r="A345" s="143" t="s">
        <v>679</v>
      </c>
      <c r="B345" s="144" t="s">
        <v>680</v>
      </c>
      <c r="C345" s="211"/>
      <c r="D345" s="164"/>
      <c r="E345" s="164"/>
      <c r="F345" s="164"/>
      <c r="G345" s="164"/>
      <c r="H345" s="164"/>
      <c r="I345" s="108">
        <v>20</v>
      </c>
      <c r="J345" s="46">
        <f>SUM(C345:H345)</f>
        <v>0</v>
      </c>
    </row>
    <row r="346" spans="1:10">
      <c r="A346" s="143" t="s">
        <v>681</v>
      </c>
      <c r="B346" s="144" t="s">
        <v>682</v>
      </c>
      <c r="C346" s="163"/>
      <c r="D346" s="164"/>
      <c r="E346" s="164"/>
      <c r="F346" s="164"/>
      <c r="G346" s="164"/>
      <c r="H346" s="164"/>
      <c r="I346" s="108">
        <v>20</v>
      </c>
      <c r="J346" s="46">
        <f>SUM(C346:H346)</f>
        <v>0</v>
      </c>
    </row>
    <row r="347" spans="1:10">
      <c r="A347" s="143" t="s">
        <v>683</v>
      </c>
      <c r="B347" s="144" t="s">
        <v>684</v>
      </c>
      <c r="C347" s="163"/>
      <c r="D347" s="164"/>
      <c r="E347" s="164"/>
      <c r="F347" s="164"/>
      <c r="G347" s="164"/>
      <c r="H347" s="164"/>
      <c r="I347" s="108">
        <v>20</v>
      </c>
      <c r="J347" s="46">
        <f>SUM(C347:H347)</f>
        <v>0</v>
      </c>
    </row>
    <row r="348" spans="1:10">
      <c r="A348" s="143" t="s">
        <v>685</v>
      </c>
      <c r="B348" s="144" t="s">
        <v>686</v>
      </c>
      <c r="C348" s="163"/>
      <c r="D348" s="164"/>
      <c r="E348" s="164"/>
      <c r="F348" s="164"/>
      <c r="G348" s="164"/>
      <c r="H348" s="164"/>
      <c r="I348" s="108">
        <v>20</v>
      </c>
      <c r="J348" s="46">
        <f>SUM(C348:H348)</f>
        <v>0</v>
      </c>
    </row>
    <row r="349" spans="1:10">
      <c r="A349" s="143" t="s">
        <v>687</v>
      </c>
      <c r="B349" s="144" t="s">
        <v>688</v>
      </c>
      <c r="C349" s="163"/>
      <c r="D349" s="164"/>
      <c r="E349" s="164"/>
      <c r="F349" s="164"/>
      <c r="G349" s="164"/>
      <c r="H349" s="164"/>
      <c r="I349" s="108">
        <v>20</v>
      </c>
      <c r="J349" s="46">
        <f>SUM(C349:H349)</f>
        <v>0</v>
      </c>
    </row>
    <row r="350" spans="1:10">
      <c r="A350" s="143" t="s">
        <v>689</v>
      </c>
      <c r="B350" s="144" t="s">
        <v>690</v>
      </c>
      <c r="C350" s="163"/>
      <c r="D350" s="164"/>
      <c r="E350" s="164"/>
      <c r="F350" s="164"/>
      <c r="G350" s="164"/>
      <c r="H350" s="164"/>
      <c r="I350" s="108">
        <v>20</v>
      </c>
      <c r="J350" s="46">
        <f>SUM(C350:H350)</f>
        <v>0</v>
      </c>
    </row>
    <row r="351" spans="1:10">
      <c r="A351" s="143" t="s">
        <v>691</v>
      </c>
      <c r="B351" s="144" t="s">
        <v>692</v>
      </c>
      <c r="C351" s="163"/>
      <c r="D351" s="164"/>
      <c r="E351" s="164"/>
      <c r="F351" s="164"/>
      <c r="G351" s="164"/>
      <c r="H351" s="164"/>
      <c r="I351" s="108">
        <v>20</v>
      </c>
      <c r="J351" s="46">
        <f>SUM(C351:H351)</f>
        <v>0</v>
      </c>
    </row>
    <row r="352" spans="1:10">
      <c r="A352" s="143" t="s">
        <v>693</v>
      </c>
      <c r="B352" s="144" t="s">
        <v>694</v>
      </c>
      <c r="C352" s="163"/>
      <c r="D352" s="164"/>
      <c r="E352" s="164"/>
      <c r="F352" s="164"/>
      <c r="G352" s="164"/>
      <c r="H352" s="164"/>
      <c r="I352" s="108">
        <v>20</v>
      </c>
      <c r="J352" s="46">
        <f>SUM(C352:H352)</f>
        <v>0</v>
      </c>
    </row>
    <row r="353" spans="1:10">
      <c r="A353" s="143" t="s">
        <v>695</v>
      </c>
      <c r="B353" s="144" t="s">
        <v>696</v>
      </c>
      <c r="C353" s="163"/>
      <c r="D353" s="164"/>
      <c r="E353" s="164"/>
      <c r="F353" s="164"/>
      <c r="G353" s="164"/>
      <c r="H353" s="164"/>
      <c r="I353" s="108">
        <v>20</v>
      </c>
      <c r="J353" s="46">
        <f>SUM(C353:H353)</f>
        <v>0</v>
      </c>
    </row>
    <row r="354" spans="1:10">
      <c r="A354" s="104" t="s">
        <v>697</v>
      </c>
      <c r="B354" s="105" t="s">
        <v>698</v>
      </c>
      <c r="C354" s="166"/>
      <c r="D354" s="145"/>
      <c r="E354" s="146"/>
      <c r="F354" s="146"/>
      <c r="G354" s="146"/>
      <c r="H354" s="146"/>
      <c r="I354" s="108">
        <v>20</v>
      </c>
      <c r="J354" s="46">
        <f>SUM(C354:H354)</f>
        <v>0</v>
      </c>
    </row>
    <row r="355" spans="1:10">
      <c r="A355" s="104" t="s">
        <v>699</v>
      </c>
      <c r="B355" s="105" t="s">
        <v>700</v>
      </c>
      <c r="C355" s="166"/>
      <c r="D355" s="145"/>
      <c r="E355" s="146"/>
      <c r="F355" s="146"/>
      <c r="G355" s="146"/>
      <c r="H355" s="146"/>
      <c r="I355" s="108">
        <v>20</v>
      </c>
      <c r="J355" s="46">
        <f>SUM(C355:H355)</f>
        <v>0</v>
      </c>
    </row>
    <row r="356" spans="1:10">
      <c r="A356" s="104" t="s">
        <v>701</v>
      </c>
      <c r="B356" s="105" t="s">
        <v>702</v>
      </c>
      <c r="C356" s="166"/>
      <c r="D356" s="145"/>
      <c r="E356" s="146">
        <v>44</v>
      </c>
      <c r="F356" s="146">
        <v>30</v>
      </c>
      <c r="G356" s="146">
        <v>38</v>
      </c>
      <c r="H356" s="146">
        <v>11</v>
      </c>
      <c r="I356" s="108">
        <v>20</v>
      </c>
      <c r="J356" s="46">
        <f>SUM(C356:H356)</f>
        <v>123</v>
      </c>
    </row>
    <row r="357" spans="1:10">
      <c r="A357" s="104" t="s">
        <v>703</v>
      </c>
      <c r="B357" s="105" t="s">
        <v>704</v>
      </c>
      <c r="C357" s="166"/>
      <c r="D357" s="145"/>
      <c r="E357" s="146"/>
      <c r="F357" s="146"/>
      <c r="G357" s="146"/>
      <c r="H357" s="146"/>
      <c r="I357" s="108">
        <v>20</v>
      </c>
      <c r="J357" s="46">
        <f>SUM(C357:H357)</f>
        <v>0</v>
      </c>
    </row>
    <row r="358" spans="1:10">
      <c r="A358" s="104" t="s">
        <v>705</v>
      </c>
      <c r="B358" s="105" t="s">
        <v>706</v>
      </c>
      <c r="C358" s="166"/>
      <c r="D358" s="145"/>
      <c r="E358" s="146"/>
      <c r="F358" s="146"/>
      <c r="G358" s="146"/>
      <c r="H358" s="146"/>
      <c r="I358" s="108">
        <v>20</v>
      </c>
      <c r="J358" s="46">
        <f>SUM(C358:H358)</f>
        <v>0</v>
      </c>
    </row>
    <row r="359" spans="1:10">
      <c r="A359" s="104" t="s">
        <v>707</v>
      </c>
      <c r="B359" s="105" t="s">
        <v>708</v>
      </c>
      <c r="C359" s="166"/>
      <c r="D359" s="145"/>
      <c r="E359" s="146"/>
      <c r="F359" s="146"/>
      <c r="G359" s="146"/>
      <c r="H359" s="146"/>
      <c r="I359" s="108">
        <v>20</v>
      </c>
      <c r="J359" s="46">
        <f>SUM(C359:H359)</f>
        <v>0</v>
      </c>
    </row>
    <row r="360" spans="1:10">
      <c r="A360" s="104" t="s">
        <v>709</v>
      </c>
      <c r="B360" s="105" t="s">
        <v>710</v>
      </c>
      <c r="C360" s="166"/>
      <c r="D360" s="145"/>
      <c r="E360" s="146"/>
      <c r="F360" s="146"/>
      <c r="G360" s="146"/>
      <c r="H360" s="146"/>
      <c r="I360" s="108">
        <v>20</v>
      </c>
      <c r="J360" s="46">
        <f>SUM(C360:H360)</f>
        <v>0</v>
      </c>
    </row>
    <row r="361" spans="1:10">
      <c r="A361" s="104" t="s">
        <v>711</v>
      </c>
      <c r="B361" s="105" t="s">
        <v>712</v>
      </c>
      <c r="C361" s="211"/>
      <c r="D361" s="145"/>
      <c r="E361" s="145"/>
      <c r="F361" s="145"/>
      <c r="G361" s="145"/>
      <c r="H361" s="145"/>
      <c r="I361" s="108">
        <v>20</v>
      </c>
      <c r="J361" s="46">
        <f>SUM(C361:H361)</f>
        <v>0</v>
      </c>
    </row>
    <row r="362" spans="1:10">
      <c r="A362" s="104" t="s">
        <v>713</v>
      </c>
      <c r="B362" s="105" t="s">
        <v>714</v>
      </c>
      <c r="C362" s="185"/>
      <c r="D362" s="184"/>
      <c r="E362" s="186"/>
      <c r="F362" s="186"/>
      <c r="G362" s="186"/>
      <c r="H362" s="107"/>
      <c r="I362" s="108">
        <v>20</v>
      </c>
      <c r="J362" s="46">
        <f>SUM(C362:H362)</f>
        <v>0</v>
      </c>
    </row>
    <row r="363" spans="1:10">
      <c r="A363" s="87" t="s">
        <v>715</v>
      </c>
      <c r="B363" s="88" t="s">
        <v>716</v>
      </c>
      <c r="C363" s="214"/>
      <c r="D363" s="90"/>
      <c r="E363" s="90"/>
      <c r="F363" s="91"/>
      <c r="G363" s="91"/>
      <c r="H363" s="91"/>
      <c r="I363" s="92"/>
      <c r="J363" s="46">
        <f>SUM(C363:H363)</f>
        <v>0</v>
      </c>
    </row>
    <row r="364" spans="1:11">
      <c r="A364" s="104" t="s">
        <v>717</v>
      </c>
      <c r="B364" s="105" t="s">
        <v>718</v>
      </c>
      <c r="C364" s="183"/>
      <c r="D364" s="106"/>
      <c r="E364" s="107">
        <v>15</v>
      </c>
      <c r="F364" s="184"/>
      <c r="G364" s="184"/>
      <c r="H364" s="184"/>
      <c r="I364" s="108">
        <v>20</v>
      </c>
      <c r="J364" s="46">
        <f>SUM(C364:H364)</f>
        <v>15</v>
      </c>
      <c r="K364" s="232" t="s">
        <v>486</v>
      </c>
    </row>
    <row r="365" spans="1:10">
      <c r="A365" s="104" t="s">
        <v>719</v>
      </c>
      <c r="B365" s="105" t="s">
        <v>720</v>
      </c>
      <c r="C365" s="211"/>
      <c r="D365" s="146"/>
      <c r="E365" s="146"/>
      <c r="F365" s="181"/>
      <c r="G365" s="181"/>
      <c r="H365" s="181"/>
      <c r="I365" s="108">
        <v>20</v>
      </c>
      <c r="J365" s="46">
        <f>SUM(C365:H365)</f>
        <v>0</v>
      </c>
    </row>
    <row r="366" spans="1:10">
      <c r="A366" s="143" t="s">
        <v>721</v>
      </c>
      <c r="B366" s="144" t="s">
        <v>722</v>
      </c>
      <c r="C366" s="166"/>
      <c r="D366" s="146"/>
      <c r="E366" s="146"/>
      <c r="F366" s="146"/>
      <c r="G366" s="146"/>
      <c r="H366" s="145"/>
      <c r="I366" s="108">
        <v>20</v>
      </c>
      <c r="J366" s="46">
        <f>SUM(C366:H366)</f>
        <v>0</v>
      </c>
    </row>
    <row r="367" spans="1:10">
      <c r="A367" s="143" t="s">
        <v>723</v>
      </c>
      <c r="B367" s="144" t="s">
        <v>724</v>
      </c>
      <c r="C367" s="211">
        <v>31</v>
      </c>
      <c r="D367" s="145"/>
      <c r="E367" s="145"/>
      <c r="F367" s="145"/>
      <c r="G367" s="145"/>
      <c r="H367" s="145"/>
      <c r="I367" s="108">
        <v>20</v>
      </c>
      <c r="J367" s="46">
        <f>SUM(C367:H367)</f>
        <v>31</v>
      </c>
    </row>
    <row r="368" spans="1:10">
      <c r="A368" s="104" t="s">
        <v>725</v>
      </c>
      <c r="B368" s="105" t="s">
        <v>726</v>
      </c>
      <c r="C368" s="211"/>
      <c r="D368" s="146"/>
      <c r="E368" s="146"/>
      <c r="F368" s="181"/>
      <c r="G368" s="181"/>
      <c r="H368" s="181"/>
      <c r="I368" s="108">
        <v>20</v>
      </c>
      <c r="J368" s="46">
        <f>SUM(C368:H368)</f>
        <v>0</v>
      </c>
    </row>
    <row r="369" spans="1:10">
      <c r="A369" s="143" t="s">
        <v>727</v>
      </c>
      <c r="B369" s="144" t="s">
        <v>728</v>
      </c>
      <c r="C369" s="166"/>
      <c r="D369" s="145"/>
      <c r="E369" s="146"/>
      <c r="F369" s="146"/>
      <c r="G369" s="146"/>
      <c r="H369" s="146"/>
      <c r="I369" s="108">
        <v>20</v>
      </c>
      <c r="J369" s="46">
        <f>SUM(C369:H369)</f>
        <v>0</v>
      </c>
    </row>
    <row r="370" spans="1:10">
      <c r="A370" s="143" t="s">
        <v>729</v>
      </c>
      <c r="B370" s="144" t="s">
        <v>730</v>
      </c>
      <c r="C370" s="211"/>
      <c r="D370" s="145"/>
      <c r="E370" s="145"/>
      <c r="F370" s="145"/>
      <c r="G370" s="145"/>
      <c r="H370" s="145"/>
      <c r="I370" s="108">
        <v>20</v>
      </c>
      <c r="J370" s="46">
        <f>SUM(C370:H370)</f>
        <v>0</v>
      </c>
    </row>
    <row r="371" spans="1:10">
      <c r="A371" s="143" t="s">
        <v>731</v>
      </c>
      <c r="B371" s="105" t="s">
        <v>732</v>
      </c>
      <c r="C371" s="163"/>
      <c r="D371" s="164"/>
      <c r="E371" s="164"/>
      <c r="F371" s="164"/>
      <c r="G371" s="164"/>
      <c r="H371" s="164"/>
      <c r="I371" s="108">
        <v>20</v>
      </c>
      <c r="J371" s="46">
        <f>SUM(C371:H371)</f>
        <v>0</v>
      </c>
    </row>
    <row r="372" spans="1:10">
      <c r="A372" s="143" t="s">
        <v>733</v>
      </c>
      <c r="B372" s="105" t="s">
        <v>734</v>
      </c>
      <c r="C372" s="163"/>
      <c r="D372" s="164"/>
      <c r="E372" s="164"/>
      <c r="F372" s="164"/>
      <c r="G372" s="164"/>
      <c r="H372" s="164"/>
      <c r="I372" s="108">
        <v>20</v>
      </c>
      <c r="J372" s="46">
        <f>SUM(C372:H372)</f>
        <v>0</v>
      </c>
    </row>
    <row r="373" spans="1:10">
      <c r="A373" s="143" t="s">
        <v>735</v>
      </c>
      <c r="B373" s="105" t="s">
        <v>736</v>
      </c>
      <c r="C373" s="163"/>
      <c r="D373" s="164"/>
      <c r="E373" s="164"/>
      <c r="F373" s="164"/>
      <c r="G373" s="164"/>
      <c r="H373" s="164"/>
      <c r="I373" s="108">
        <v>20</v>
      </c>
      <c r="J373" s="46">
        <f>SUM(C373:H373)</f>
        <v>0</v>
      </c>
    </row>
    <row r="374" ht="15.75" spans="1:10">
      <c r="A374" s="87" t="s">
        <v>737</v>
      </c>
      <c r="B374" s="96" t="s">
        <v>738</v>
      </c>
      <c r="C374" s="214"/>
      <c r="D374" s="90"/>
      <c r="E374" s="91"/>
      <c r="F374" s="91"/>
      <c r="G374" s="91"/>
      <c r="H374" s="103"/>
      <c r="I374" s="92"/>
      <c r="J374" s="46">
        <f>SUM(C374:H374)</f>
        <v>0</v>
      </c>
    </row>
    <row r="375" spans="1:10">
      <c r="A375" s="215" t="s">
        <v>739</v>
      </c>
      <c r="B375" s="141" t="s">
        <v>740</v>
      </c>
      <c r="C375" s="216"/>
      <c r="D375" s="85"/>
      <c r="E375" s="85"/>
      <c r="F375" s="116">
        <v>34</v>
      </c>
      <c r="G375" s="116"/>
      <c r="H375" s="116">
        <v>5</v>
      </c>
      <c r="I375" s="86"/>
      <c r="J375" s="46">
        <f>SUM(C375:H375)</f>
        <v>39</v>
      </c>
    </row>
    <row r="376" spans="1:10">
      <c r="A376" s="217" t="s">
        <v>739</v>
      </c>
      <c r="B376" s="96" t="s">
        <v>741</v>
      </c>
      <c r="C376" s="214"/>
      <c r="D376" s="90"/>
      <c r="E376" s="90"/>
      <c r="F376" s="91">
        <v>10</v>
      </c>
      <c r="G376" s="91"/>
      <c r="H376" s="91"/>
      <c r="I376" s="92"/>
      <c r="J376" s="46">
        <f>SUM(C376:H376)</f>
        <v>10</v>
      </c>
    </row>
    <row r="377" spans="1:10">
      <c r="A377" s="217" t="s">
        <v>739</v>
      </c>
      <c r="B377" s="96" t="s">
        <v>742</v>
      </c>
      <c r="C377" s="214"/>
      <c r="D377" s="90"/>
      <c r="E377" s="90"/>
      <c r="F377" s="91"/>
      <c r="G377" s="91"/>
      <c r="H377" s="91">
        <v>9</v>
      </c>
      <c r="I377" s="92"/>
      <c r="J377" s="46">
        <f>SUM(C377:H377)</f>
        <v>9</v>
      </c>
    </row>
    <row r="378" spans="1:10">
      <c r="A378" s="217" t="s">
        <v>743</v>
      </c>
      <c r="B378" s="96" t="s">
        <v>744</v>
      </c>
      <c r="C378" s="214"/>
      <c r="D378" s="90"/>
      <c r="E378" s="90"/>
      <c r="F378" s="91"/>
      <c r="G378" s="91"/>
      <c r="H378" s="91">
        <v>2</v>
      </c>
      <c r="I378" s="92"/>
      <c r="J378" s="46">
        <f>SUM(C378:H378)</f>
        <v>2</v>
      </c>
    </row>
    <row r="379" spans="1:10">
      <c r="A379" s="217" t="s">
        <v>745</v>
      </c>
      <c r="B379" s="96" t="s">
        <v>746</v>
      </c>
      <c r="C379" s="214"/>
      <c r="D379" s="90"/>
      <c r="E379" s="90"/>
      <c r="F379" s="91"/>
      <c r="G379" s="91"/>
      <c r="H379" s="91"/>
      <c r="I379" s="92"/>
      <c r="J379" s="46">
        <f>SUM(C379:H379)</f>
        <v>0</v>
      </c>
    </row>
    <row r="380" spans="1:10">
      <c r="A380" s="217" t="s">
        <v>747</v>
      </c>
      <c r="B380" s="96" t="s">
        <v>748</v>
      </c>
      <c r="C380" s="206"/>
      <c r="D380" s="90"/>
      <c r="E380" s="90"/>
      <c r="F380" s="91">
        <v>1</v>
      </c>
      <c r="G380" s="91">
        <v>25</v>
      </c>
      <c r="H380" s="91"/>
      <c r="I380" s="92"/>
      <c r="J380" s="46">
        <f>SUM(C380:H380)</f>
        <v>26</v>
      </c>
    </row>
    <row r="381" spans="1:10">
      <c r="A381" s="218" t="s">
        <v>749</v>
      </c>
      <c r="B381" s="96" t="s">
        <v>750</v>
      </c>
      <c r="C381" s="206"/>
      <c r="D381" s="90"/>
      <c r="E381" s="90"/>
      <c r="F381" s="91">
        <v>32</v>
      </c>
      <c r="G381" s="91">
        <v>9</v>
      </c>
      <c r="H381" s="91">
        <v>55</v>
      </c>
      <c r="I381" s="92"/>
      <c r="J381" s="46">
        <f>SUM(C381:H381)</f>
        <v>96</v>
      </c>
    </row>
    <row r="382" spans="1:10">
      <c r="A382" s="217" t="s">
        <v>751</v>
      </c>
      <c r="B382" s="88" t="s">
        <v>752</v>
      </c>
      <c r="C382" s="214"/>
      <c r="D382" s="90"/>
      <c r="E382" s="90"/>
      <c r="F382" s="91"/>
      <c r="G382" s="91"/>
      <c r="H382" s="91"/>
      <c r="I382" s="92"/>
      <c r="J382" s="46">
        <f>SUM(C382:H382)</f>
        <v>0</v>
      </c>
    </row>
    <row r="383" spans="1:10">
      <c r="A383" s="219" t="s">
        <v>753</v>
      </c>
      <c r="B383" s="220" t="s">
        <v>754</v>
      </c>
      <c r="C383" s="221"/>
      <c r="D383" s="222"/>
      <c r="E383" s="222"/>
      <c r="F383" s="223"/>
      <c r="G383" s="223">
        <v>37</v>
      </c>
      <c r="H383" s="223"/>
      <c r="I383" s="224"/>
      <c r="J383" s="46">
        <f>SUM(C383:H383)</f>
        <v>37</v>
      </c>
    </row>
    <row r="384" spans="1:10">
      <c r="A384" s="217" t="s">
        <v>755</v>
      </c>
      <c r="B384" s="96" t="s">
        <v>756</v>
      </c>
      <c r="C384" s="206"/>
      <c r="D384" s="91"/>
      <c r="E384" s="90"/>
      <c r="F384" s="90"/>
      <c r="G384" s="90"/>
      <c r="H384" s="90"/>
      <c r="I384" s="92"/>
      <c r="J384" s="46">
        <f>SUM(C384:H384)</f>
        <v>0</v>
      </c>
    </row>
    <row r="385" spans="1:10">
      <c r="A385" s="217" t="s">
        <v>757</v>
      </c>
      <c r="B385" s="88" t="s">
        <v>758</v>
      </c>
      <c r="C385" s="214"/>
      <c r="D385" s="90"/>
      <c r="E385" s="90"/>
      <c r="F385" s="91">
        <v>14</v>
      </c>
      <c r="G385" s="91">
        <v>15</v>
      </c>
      <c r="H385" s="91">
        <v>17</v>
      </c>
      <c r="I385" s="92"/>
      <c r="J385" s="46">
        <f>SUM(C385:H385)</f>
        <v>46</v>
      </c>
    </row>
    <row r="386" spans="1:10">
      <c r="A386" s="136" t="s">
        <v>759</v>
      </c>
      <c r="B386" s="131" t="s">
        <v>760</v>
      </c>
      <c r="C386" s="225"/>
      <c r="D386" s="99"/>
      <c r="E386" s="90"/>
      <c r="F386" s="90"/>
      <c r="G386" s="90"/>
      <c r="H386" s="90"/>
      <c r="I386" s="92"/>
      <c r="J386" s="46">
        <f>SUM(C386:H386)</f>
        <v>0</v>
      </c>
    </row>
    <row r="387" spans="1:10">
      <c r="A387" s="226"/>
      <c r="B387" s="227" t="s">
        <v>761</v>
      </c>
      <c r="C387" s="228">
        <v>462</v>
      </c>
      <c r="D387" s="229"/>
      <c r="E387" s="229"/>
      <c r="F387" s="229"/>
      <c r="G387" s="229"/>
      <c r="H387" s="229"/>
      <c r="I387" s="108">
        <v>20</v>
      </c>
      <c r="J387" s="46">
        <f>SUM(C387:H387)</f>
        <v>462</v>
      </c>
    </row>
    <row r="388" ht="15.75" spans="1:10">
      <c r="A388" s="230"/>
      <c r="B388" s="231" t="s">
        <v>762</v>
      </c>
      <c r="C388" s="228">
        <v>101</v>
      </c>
      <c r="D388" s="229"/>
      <c r="E388" s="229"/>
      <c r="F388" s="229"/>
      <c r="G388" s="229"/>
      <c r="H388" s="229"/>
      <c r="I388" s="108">
        <v>20</v>
      </c>
      <c r="J388" s="46">
        <f>SUM(C388:H388)</f>
        <v>101</v>
      </c>
    </row>
  </sheetData>
  <sortState ref="A3:K399">
    <sortCondition ref="A236"/>
  </sortState>
  <mergeCells count="2">
    <mergeCell ref="A1:G1"/>
    <mergeCell ref="I1:J1"/>
  </mergeCells>
  <conditionalFormatting sqref="J3:J388">
    <cfRule type="expression" dxfId="0" priority="3">
      <formula>J3&lt;20</formula>
    </cfRule>
  </conditionalFormatting>
  <pageMargins left="0.161111111111111" right="0.161111111111111" top="0.2125" bottom="0.2125" header="0.5" footer="0.5"/>
  <pageSetup paperSize="9" scale="97" fitToHeight="0" orientation="portrait" horizontalDpi="6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139"/>
  <sheetViews>
    <sheetView tabSelected="1" workbookViewId="0">
      <selection activeCell="C6" sqref="C6:C7"/>
    </sheetView>
  </sheetViews>
  <sheetFormatPr defaultColWidth="9" defaultRowHeight="15"/>
  <cols>
    <col min="1" max="1" width="8.71428571428571" style="1" customWidth="1"/>
    <col min="2" max="2" width="45" style="1" customWidth="1"/>
    <col min="3" max="3" width="3.28571428571429" style="15" customWidth="1"/>
    <col min="4" max="4" width="3.85714285714286" style="15" customWidth="1"/>
    <col min="5" max="7" width="3.57142857142857" style="15" customWidth="1"/>
    <col min="8" max="8" width="7" style="15" customWidth="1"/>
    <col min="9" max="9" width="8.85714285714286" style="15" customWidth="1"/>
    <col min="10" max="10" width="7" style="1" customWidth="1"/>
    <col min="11" max="11" width="9" style="16" customWidth="1"/>
    <col min="12" max="16384" width="9" customWidth="1"/>
  </cols>
  <sheetData>
    <row r="1" customFormat="1" ht="31" customHeight="1" spans="1:13">
      <c r="A1" s="17" t="s">
        <v>763</v>
      </c>
      <c r="B1" s="18"/>
      <c r="C1" s="18"/>
      <c r="D1" s="18"/>
      <c r="E1" s="18"/>
      <c r="F1" s="18"/>
      <c r="G1" s="19"/>
      <c r="H1" s="20" t="s">
        <v>1</v>
      </c>
      <c r="I1" s="43" t="s">
        <v>2</v>
      </c>
      <c r="J1" s="20"/>
      <c r="K1" s="1"/>
      <c r="L1" s="1"/>
      <c r="M1" s="1"/>
    </row>
    <row r="2" ht="18.75" customHeight="1" spans="1:10">
      <c r="A2" s="21" t="s">
        <v>3</v>
      </c>
      <c r="B2" s="21" t="s">
        <v>4</v>
      </c>
      <c r="C2" s="22" t="s">
        <v>5</v>
      </c>
      <c r="D2" s="22" t="s">
        <v>6</v>
      </c>
      <c r="E2" s="22" t="s">
        <v>7</v>
      </c>
      <c r="F2" s="22" t="s">
        <v>8</v>
      </c>
      <c r="G2" s="22" t="s">
        <v>9</v>
      </c>
      <c r="H2" s="22" t="s">
        <v>10</v>
      </c>
      <c r="I2" s="44" t="s">
        <v>11</v>
      </c>
      <c r="J2" s="44" t="s">
        <v>12</v>
      </c>
    </row>
    <row r="3" ht="18.75" customHeight="1" spans="1:10">
      <c r="A3" s="23" t="s">
        <v>764</v>
      </c>
      <c r="B3" s="24" t="s">
        <v>157</v>
      </c>
      <c r="C3" s="25"/>
      <c r="D3" s="26"/>
      <c r="E3" s="26"/>
      <c r="F3" s="26"/>
      <c r="G3" s="26"/>
      <c r="H3" s="25"/>
      <c r="I3" s="45">
        <v>20</v>
      </c>
      <c r="J3" s="46">
        <f t="shared" ref="J3:J66" si="0">SUM(C3:H3)</f>
        <v>0</v>
      </c>
    </row>
    <row r="4" ht="18.75" customHeight="1" spans="1:10">
      <c r="A4" s="27" t="s">
        <v>765</v>
      </c>
      <c r="B4" s="28" t="s">
        <v>167</v>
      </c>
      <c r="C4" s="29"/>
      <c r="D4" s="29"/>
      <c r="E4" s="30"/>
      <c r="F4" s="30"/>
      <c r="G4" s="30"/>
      <c r="H4" s="30"/>
      <c r="I4" s="45">
        <v>20</v>
      </c>
      <c r="J4" s="46">
        <f t="shared" si="0"/>
        <v>0</v>
      </c>
    </row>
    <row r="5" ht="18.75" customHeight="1" spans="1:10">
      <c r="A5" s="23" t="s">
        <v>766</v>
      </c>
      <c r="B5" s="24" t="s">
        <v>231</v>
      </c>
      <c r="C5" s="25"/>
      <c r="D5" s="25"/>
      <c r="E5" s="26"/>
      <c r="F5" s="26"/>
      <c r="G5" s="26"/>
      <c r="H5" s="25"/>
      <c r="I5" s="45">
        <v>20</v>
      </c>
      <c r="J5" s="46">
        <f t="shared" si="0"/>
        <v>0</v>
      </c>
    </row>
    <row r="6" ht="18.75" customHeight="1" spans="1:10">
      <c r="A6" s="27" t="s">
        <v>767</v>
      </c>
      <c r="B6" s="31" t="s">
        <v>344</v>
      </c>
      <c r="C6" s="29"/>
      <c r="D6" s="29"/>
      <c r="E6" s="30">
        <v>10</v>
      </c>
      <c r="F6" s="30">
        <v>10</v>
      </c>
      <c r="G6" s="30">
        <v>10</v>
      </c>
      <c r="H6" s="30"/>
      <c r="I6" s="45">
        <v>20</v>
      </c>
      <c r="J6" s="46">
        <f t="shared" si="0"/>
        <v>30</v>
      </c>
    </row>
    <row r="7" ht="18.75" customHeight="1" spans="1:10">
      <c r="A7" s="27" t="s">
        <v>768</v>
      </c>
      <c r="B7" s="31" t="s">
        <v>471</v>
      </c>
      <c r="C7" s="29"/>
      <c r="D7" s="29"/>
      <c r="E7" s="30">
        <v>10</v>
      </c>
      <c r="F7" s="30">
        <v>20</v>
      </c>
      <c r="G7" s="30"/>
      <c r="H7" s="30"/>
      <c r="I7" s="45">
        <v>20</v>
      </c>
      <c r="J7" s="46">
        <f t="shared" si="0"/>
        <v>30</v>
      </c>
    </row>
    <row r="8" ht="18.75" customHeight="1" spans="1:10">
      <c r="A8" s="27" t="s">
        <v>769</v>
      </c>
      <c r="B8" s="31" t="s">
        <v>770</v>
      </c>
      <c r="C8" s="32"/>
      <c r="D8" s="32">
        <v>10</v>
      </c>
      <c r="E8" s="33"/>
      <c r="F8" s="33"/>
      <c r="G8" s="33">
        <v>13</v>
      </c>
      <c r="H8" s="26"/>
      <c r="I8" s="45">
        <v>20</v>
      </c>
      <c r="J8" s="46">
        <f t="shared" si="0"/>
        <v>23</v>
      </c>
    </row>
    <row r="9" ht="18.75" customHeight="1" spans="1:10">
      <c r="A9" s="23" t="s">
        <v>771</v>
      </c>
      <c r="B9" s="34" t="s">
        <v>772</v>
      </c>
      <c r="C9" s="25"/>
      <c r="D9" s="25">
        <v>20</v>
      </c>
      <c r="E9" s="26">
        <v>15</v>
      </c>
      <c r="F9" s="26">
        <v>30</v>
      </c>
      <c r="G9" s="26"/>
      <c r="H9" s="26"/>
      <c r="I9" s="45">
        <v>20</v>
      </c>
      <c r="J9" s="46">
        <f t="shared" si="0"/>
        <v>65</v>
      </c>
    </row>
    <row r="10" ht="18.75" customHeight="1" spans="1:10">
      <c r="A10" s="23" t="s">
        <v>476</v>
      </c>
      <c r="B10" s="31" t="s">
        <v>477</v>
      </c>
      <c r="C10" s="33"/>
      <c r="D10" s="35"/>
      <c r="E10" s="35"/>
      <c r="F10" s="35"/>
      <c r="G10" s="35"/>
      <c r="H10" s="35"/>
      <c r="I10" s="45">
        <v>20</v>
      </c>
      <c r="J10" s="46">
        <f t="shared" si="0"/>
        <v>0</v>
      </c>
    </row>
    <row r="11" ht="18.75" customHeight="1" spans="1:10">
      <c r="A11" s="27" t="s">
        <v>478</v>
      </c>
      <c r="B11" s="31" t="s">
        <v>479</v>
      </c>
      <c r="C11" s="33"/>
      <c r="D11" s="25"/>
      <c r="E11" s="25"/>
      <c r="F11" s="25"/>
      <c r="G11" s="25"/>
      <c r="H11" s="25"/>
      <c r="I11" s="45">
        <v>20</v>
      </c>
      <c r="J11" s="46">
        <f t="shared" si="0"/>
        <v>0</v>
      </c>
    </row>
    <row r="12" ht="18.75" customHeight="1" spans="1:10">
      <c r="A12" s="27" t="s">
        <v>480</v>
      </c>
      <c r="B12" s="31" t="s">
        <v>481</v>
      </c>
      <c r="C12" s="33"/>
      <c r="D12" s="25"/>
      <c r="E12" s="25"/>
      <c r="F12" s="25"/>
      <c r="G12" s="25"/>
      <c r="H12" s="25"/>
      <c r="I12" s="45">
        <v>20</v>
      </c>
      <c r="J12" s="46">
        <f t="shared" si="0"/>
        <v>0</v>
      </c>
    </row>
    <row r="13" ht="18.75" customHeight="1" spans="1:10">
      <c r="A13" s="23" t="s">
        <v>482</v>
      </c>
      <c r="B13" s="31" t="s">
        <v>483</v>
      </c>
      <c r="C13" s="33"/>
      <c r="D13" s="35"/>
      <c r="E13" s="35"/>
      <c r="F13" s="35"/>
      <c r="G13" s="35"/>
      <c r="H13" s="35"/>
      <c r="I13" s="45">
        <v>20</v>
      </c>
      <c r="J13" s="46">
        <f t="shared" si="0"/>
        <v>0</v>
      </c>
    </row>
    <row r="14" ht="18.75" customHeight="1" spans="1:10">
      <c r="A14" s="27" t="s">
        <v>484</v>
      </c>
      <c r="B14" s="31" t="s">
        <v>485</v>
      </c>
      <c r="C14" s="29"/>
      <c r="D14" s="29"/>
      <c r="E14" s="22"/>
      <c r="F14" s="30"/>
      <c r="G14" s="22"/>
      <c r="H14" s="22"/>
      <c r="I14" s="45">
        <v>20</v>
      </c>
      <c r="J14" s="46">
        <f t="shared" si="0"/>
        <v>0</v>
      </c>
    </row>
    <row r="15" ht="18.75" customHeight="1" spans="1:10">
      <c r="A15" s="27" t="s">
        <v>487</v>
      </c>
      <c r="B15" s="31" t="s">
        <v>488</v>
      </c>
      <c r="C15" s="32"/>
      <c r="D15" s="32"/>
      <c r="E15" s="33"/>
      <c r="F15" s="33"/>
      <c r="G15" s="33"/>
      <c r="H15" s="32"/>
      <c r="I15" s="45">
        <v>20</v>
      </c>
      <c r="J15" s="46">
        <f t="shared" si="0"/>
        <v>0</v>
      </c>
    </row>
    <row r="16" ht="18.75" customHeight="1" spans="1:10">
      <c r="A16" s="27" t="s">
        <v>489</v>
      </c>
      <c r="B16" s="31" t="s">
        <v>490</v>
      </c>
      <c r="C16" s="33"/>
      <c r="D16" s="36"/>
      <c r="E16" s="36"/>
      <c r="F16" s="36"/>
      <c r="G16" s="36"/>
      <c r="H16" s="36"/>
      <c r="I16" s="45">
        <v>20</v>
      </c>
      <c r="J16" s="46">
        <f t="shared" si="0"/>
        <v>0</v>
      </c>
    </row>
    <row r="17" ht="18.75" customHeight="1" spans="1:10">
      <c r="A17" s="23" t="s">
        <v>491</v>
      </c>
      <c r="B17" s="34" t="s">
        <v>492</v>
      </c>
      <c r="C17" s="25"/>
      <c r="D17" s="26"/>
      <c r="E17" s="25"/>
      <c r="F17" s="25"/>
      <c r="G17" s="25"/>
      <c r="H17" s="25"/>
      <c r="I17" s="45">
        <v>20</v>
      </c>
      <c r="J17" s="46">
        <f t="shared" si="0"/>
        <v>0</v>
      </c>
    </row>
    <row r="18" ht="18.75" customHeight="1" spans="1:10">
      <c r="A18" s="27" t="s">
        <v>493</v>
      </c>
      <c r="B18" s="31" t="s">
        <v>494</v>
      </c>
      <c r="C18" s="25"/>
      <c r="D18" s="26">
        <v>44</v>
      </c>
      <c r="E18" s="25"/>
      <c r="F18" s="25"/>
      <c r="G18" s="25"/>
      <c r="H18" s="25"/>
      <c r="I18" s="45">
        <v>20</v>
      </c>
      <c r="J18" s="46">
        <f t="shared" si="0"/>
        <v>44</v>
      </c>
    </row>
    <row r="19" ht="18.75" customHeight="1" spans="1:10">
      <c r="A19" s="27" t="s">
        <v>495</v>
      </c>
      <c r="B19" s="31" t="s">
        <v>496</v>
      </c>
      <c r="C19" s="25"/>
      <c r="D19" s="26"/>
      <c r="E19" s="25"/>
      <c r="F19" s="25"/>
      <c r="G19" s="25"/>
      <c r="H19" s="25"/>
      <c r="I19" s="45">
        <v>20</v>
      </c>
      <c r="J19" s="46">
        <f t="shared" si="0"/>
        <v>0</v>
      </c>
    </row>
    <row r="20" ht="18.75" customHeight="1" spans="1:10">
      <c r="A20" s="23" t="s">
        <v>497</v>
      </c>
      <c r="B20" s="31" t="s">
        <v>498</v>
      </c>
      <c r="C20" s="33"/>
      <c r="D20" s="37"/>
      <c r="E20" s="35"/>
      <c r="F20" s="35"/>
      <c r="G20" s="35"/>
      <c r="H20" s="35"/>
      <c r="I20" s="45">
        <v>20</v>
      </c>
      <c r="J20" s="46">
        <f t="shared" si="0"/>
        <v>0</v>
      </c>
    </row>
    <row r="21" ht="18.75" customHeight="1" spans="1:10">
      <c r="A21" s="23" t="s">
        <v>499</v>
      </c>
      <c r="B21" s="31" t="s">
        <v>500</v>
      </c>
      <c r="C21" s="33"/>
      <c r="D21" s="35"/>
      <c r="E21" s="35"/>
      <c r="F21" s="35"/>
      <c r="G21" s="35"/>
      <c r="H21" s="35"/>
      <c r="I21" s="45">
        <v>20</v>
      </c>
      <c r="J21" s="46">
        <f t="shared" si="0"/>
        <v>0</v>
      </c>
    </row>
    <row r="22" ht="18.75" customHeight="1" spans="1:10">
      <c r="A22" s="27" t="s">
        <v>501</v>
      </c>
      <c r="B22" s="31" t="s">
        <v>502</v>
      </c>
      <c r="C22" s="25"/>
      <c r="D22" s="25"/>
      <c r="E22" s="26"/>
      <c r="F22" s="26"/>
      <c r="G22" s="26"/>
      <c r="H22" s="25"/>
      <c r="I22" s="45">
        <v>20</v>
      </c>
      <c r="J22" s="46">
        <f t="shared" si="0"/>
        <v>0</v>
      </c>
    </row>
    <row r="23" ht="18.75" customHeight="1" spans="1:10">
      <c r="A23" s="23" t="s">
        <v>503</v>
      </c>
      <c r="B23" s="31" t="s">
        <v>504</v>
      </c>
      <c r="C23" s="25"/>
      <c r="D23" s="25"/>
      <c r="E23" s="26"/>
      <c r="F23" s="26">
        <v>5</v>
      </c>
      <c r="G23" s="26">
        <v>5</v>
      </c>
      <c r="H23" s="25"/>
      <c r="I23" s="45">
        <v>20</v>
      </c>
      <c r="J23" s="46">
        <f t="shared" si="0"/>
        <v>10</v>
      </c>
    </row>
    <row r="24" ht="18.75" customHeight="1" spans="1:10">
      <c r="A24" s="23" t="s">
        <v>505</v>
      </c>
      <c r="B24" s="31" t="s">
        <v>506</v>
      </c>
      <c r="C24" s="25"/>
      <c r="D24" s="25"/>
      <c r="E24" s="26"/>
      <c r="F24" s="26"/>
      <c r="G24" s="26"/>
      <c r="H24" s="25"/>
      <c r="I24" s="45">
        <v>20</v>
      </c>
      <c r="J24" s="46">
        <f t="shared" si="0"/>
        <v>0</v>
      </c>
    </row>
    <row r="25" ht="18.75" customHeight="1" spans="1:10">
      <c r="A25" s="27" t="s">
        <v>507</v>
      </c>
      <c r="B25" s="31" t="s">
        <v>508</v>
      </c>
      <c r="C25" s="38"/>
      <c r="D25" s="38"/>
      <c r="E25" s="26"/>
      <c r="F25" s="26"/>
      <c r="G25" s="26"/>
      <c r="H25" s="39"/>
      <c r="I25" s="45">
        <v>20</v>
      </c>
      <c r="J25" s="46">
        <f t="shared" si="0"/>
        <v>0</v>
      </c>
    </row>
    <row r="26" ht="18.75" customHeight="1" spans="1:10">
      <c r="A26" s="27" t="s">
        <v>509</v>
      </c>
      <c r="B26" s="31" t="s">
        <v>510</v>
      </c>
      <c r="C26" s="29"/>
      <c r="D26" s="29"/>
      <c r="E26" s="30"/>
      <c r="F26" s="30"/>
      <c r="G26" s="30"/>
      <c r="H26" s="22"/>
      <c r="I26" s="45">
        <v>20</v>
      </c>
      <c r="J26" s="46">
        <f t="shared" si="0"/>
        <v>0</v>
      </c>
    </row>
    <row r="27" ht="18.75" customHeight="1" spans="1:10">
      <c r="A27" s="27" t="s">
        <v>511</v>
      </c>
      <c r="B27" s="31" t="s">
        <v>512</v>
      </c>
      <c r="C27" s="22"/>
      <c r="D27" s="22"/>
      <c r="E27" s="40"/>
      <c r="F27" s="40"/>
      <c r="G27" s="40"/>
      <c r="H27" s="22"/>
      <c r="I27" s="45">
        <v>20</v>
      </c>
      <c r="J27" s="46">
        <f t="shared" si="0"/>
        <v>0</v>
      </c>
    </row>
    <row r="28" ht="18.75" customHeight="1" spans="1:10">
      <c r="A28" s="27" t="s">
        <v>513</v>
      </c>
      <c r="B28" s="41" t="s">
        <v>514</v>
      </c>
      <c r="C28" s="22"/>
      <c r="D28" s="22"/>
      <c r="E28" s="40"/>
      <c r="F28" s="40"/>
      <c r="G28" s="40"/>
      <c r="H28" s="30"/>
      <c r="I28" s="45">
        <v>20</v>
      </c>
      <c r="J28" s="46">
        <f t="shared" si="0"/>
        <v>0</v>
      </c>
    </row>
    <row r="29" ht="18.75" customHeight="1" spans="1:10">
      <c r="A29" s="23" t="s">
        <v>515</v>
      </c>
      <c r="B29" s="31" t="s">
        <v>516</v>
      </c>
      <c r="C29" s="25"/>
      <c r="D29" s="25"/>
      <c r="E29" s="26"/>
      <c r="F29" s="26"/>
      <c r="G29" s="26"/>
      <c r="H29" s="25"/>
      <c r="I29" s="45">
        <v>20</v>
      </c>
      <c r="J29" s="46">
        <f t="shared" si="0"/>
        <v>0</v>
      </c>
    </row>
    <row r="30" ht="18.75" customHeight="1" spans="1:10">
      <c r="A30" s="27" t="s">
        <v>517</v>
      </c>
      <c r="B30" s="31" t="s">
        <v>518</v>
      </c>
      <c r="C30" s="22"/>
      <c r="D30" s="22"/>
      <c r="E30" s="40">
        <v>36</v>
      </c>
      <c r="F30" s="40"/>
      <c r="G30" s="40"/>
      <c r="H30" s="22"/>
      <c r="I30" s="45">
        <v>20</v>
      </c>
      <c r="J30" s="46">
        <f t="shared" si="0"/>
        <v>36</v>
      </c>
    </row>
    <row r="31" ht="18.75" customHeight="1" spans="1:10">
      <c r="A31" s="27" t="s">
        <v>519</v>
      </c>
      <c r="B31" s="31" t="s">
        <v>520</v>
      </c>
      <c r="C31" s="22"/>
      <c r="D31" s="22"/>
      <c r="E31" s="40">
        <v>20</v>
      </c>
      <c r="F31" s="40"/>
      <c r="G31" s="40"/>
      <c r="H31" s="22"/>
      <c r="I31" s="45">
        <v>20</v>
      </c>
      <c r="J31" s="46">
        <f t="shared" si="0"/>
        <v>20</v>
      </c>
    </row>
    <row r="32" ht="18.75" customHeight="1" spans="1:10">
      <c r="A32" s="27" t="s">
        <v>521</v>
      </c>
      <c r="B32" s="31" t="s">
        <v>522</v>
      </c>
      <c r="C32" s="32"/>
      <c r="D32" s="32"/>
      <c r="E32" s="33">
        <v>54</v>
      </c>
      <c r="F32" s="33">
        <v>10</v>
      </c>
      <c r="G32" s="33">
        <v>10</v>
      </c>
      <c r="H32" s="32"/>
      <c r="I32" s="45">
        <v>20</v>
      </c>
      <c r="J32" s="46">
        <f t="shared" si="0"/>
        <v>74</v>
      </c>
    </row>
    <row r="33" ht="18.75" customHeight="1" spans="1:10">
      <c r="A33" s="27" t="s">
        <v>523</v>
      </c>
      <c r="B33" s="31" t="s">
        <v>524</v>
      </c>
      <c r="C33" s="32"/>
      <c r="D33" s="32"/>
      <c r="E33" s="33"/>
      <c r="F33" s="33"/>
      <c r="G33" s="33"/>
      <c r="H33" s="32"/>
      <c r="I33" s="45">
        <v>20</v>
      </c>
      <c r="J33" s="46">
        <f t="shared" si="0"/>
        <v>0</v>
      </c>
    </row>
    <row r="34" ht="18.75" customHeight="1" spans="1:10">
      <c r="A34" s="27" t="s">
        <v>525</v>
      </c>
      <c r="B34" s="31" t="s">
        <v>526</v>
      </c>
      <c r="C34" s="32"/>
      <c r="D34" s="32"/>
      <c r="E34" s="33"/>
      <c r="F34" s="33"/>
      <c r="G34" s="33"/>
      <c r="H34" s="32"/>
      <c r="I34" s="45">
        <v>20</v>
      </c>
      <c r="J34" s="46">
        <f t="shared" si="0"/>
        <v>0</v>
      </c>
    </row>
    <row r="35" ht="18.75" customHeight="1" spans="1:10">
      <c r="A35" s="27" t="s">
        <v>527</v>
      </c>
      <c r="B35" s="31" t="s">
        <v>528</v>
      </c>
      <c r="C35" s="32"/>
      <c r="D35" s="32"/>
      <c r="E35" s="33"/>
      <c r="F35" s="33"/>
      <c r="G35" s="33"/>
      <c r="H35" s="32"/>
      <c r="I35" s="45">
        <v>20</v>
      </c>
      <c r="J35" s="46">
        <f t="shared" si="0"/>
        <v>0</v>
      </c>
    </row>
    <row r="36" ht="18.75" customHeight="1" spans="1:10">
      <c r="A36" s="27" t="s">
        <v>529</v>
      </c>
      <c r="B36" s="31" t="s">
        <v>530</v>
      </c>
      <c r="C36" s="22"/>
      <c r="D36" s="22"/>
      <c r="E36" s="40"/>
      <c r="F36" s="40"/>
      <c r="G36" s="40"/>
      <c r="H36" s="22"/>
      <c r="I36" s="45">
        <v>20</v>
      </c>
      <c r="J36" s="46">
        <f t="shared" si="0"/>
        <v>0</v>
      </c>
    </row>
    <row r="37" ht="18.75" customHeight="1" spans="1:10">
      <c r="A37" s="27" t="s">
        <v>531</v>
      </c>
      <c r="B37" s="31" t="s">
        <v>532</v>
      </c>
      <c r="C37" s="22"/>
      <c r="D37" s="22"/>
      <c r="E37" s="40">
        <v>20</v>
      </c>
      <c r="F37" s="40">
        <v>10</v>
      </c>
      <c r="G37" s="40">
        <v>10</v>
      </c>
      <c r="H37" s="22"/>
      <c r="I37" s="45">
        <v>20</v>
      </c>
      <c r="J37" s="46">
        <f t="shared" si="0"/>
        <v>40</v>
      </c>
    </row>
    <row r="38" ht="18.75" customHeight="1" spans="1:10">
      <c r="A38" s="27" t="s">
        <v>533</v>
      </c>
      <c r="B38" s="31" t="s">
        <v>534</v>
      </c>
      <c r="C38" s="32"/>
      <c r="D38" s="32"/>
      <c r="E38" s="33"/>
      <c r="F38" s="33"/>
      <c r="G38" s="33"/>
      <c r="H38" s="32"/>
      <c r="I38" s="45">
        <v>20</v>
      </c>
      <c r="J38" s="46">
        <f t="shared" si="0"/>
        <v>0</v>
      </c>
    </row>
    <row r="39" ht="18.75" customHeight="1" spans="1:10">
      <c r="A39" s="27" t="s">
        <v>535</v>
      </c>
      <c r="B39" s="31" t="s">
        <v>536</v>
      </c>
      <c r="C39" s="32"/>
      <c r="D39" s="32"/>
      <c r="E39" s="33">
        <v>10</v>
      </c>
      <c r="F39" s="33"/>
      <c r="G39" s="33"/>
      <c r="H39" s="32"/>
      <c r="I39" s="45">
        <v>20</v>
      </c>
      <c r="J39" s="46">
        <f t="shared" si="0"/>
        <v>10</v>
      </c>
    </row>
    <row r="40" ht="18.75" customHeight="1" spans="1:10">
      <c r="A40" s="27" t="s">
        <v>537</v>
      </c>
      <c r="B40" s="31" t="s">
        <v>538</v>
      </c>
      <c r="C40" s="32"/>
      <c r="D40" s="32"/>
      <c r="E40" s="33"/>
      <c r="F40" s="33"/>
      <c r="G40" s="33"/>
      <c r="H40" s="32"/>
      <c r="I40" s="45">
        <v>20</v>
      </c>
      <c r="J40" s="46">
        <f t="shared" si="0"/>
        <v>0</v>
      </c>
    </row>
    <row r="41" ht="18.75" customHeight="1" spans="1:10">
      <c r="A41" s="27" t="s">
        <v>539</v>
      </c>
      <c r="B41" s="31" t="s">
        <v>540</v>
      </c>
      <c r="C41" s="25"/>
      <c r="D41" s="26"/>
      <c r="E41" s="25"/>
      <c r="F41" s="25"/>
      <c r="G41" s="25"/>
      <c r="H41" s="25"/>
      <c r="I41" s="45">
        <v>20</v>
      </c>
      <c r="J41" s="46">
        <f t="shared" si="0"/>
        <v>0</v>
      </c>
    </row>
    <row r="42" ht="18.75" customHeight="1" spans="1:10">
      <c r="A42" s="23" t="s">
        <v>541</v>
      </c>
      <c r="B42" s="31" t="s">
        <v>542</v>
      </c>
      <c r="C42" s="25"/>
      <c r="D42" s="25"/>
      <c r="E42" s="26"/>
      <c r="F42" s="26"/>
      <c r="G42" s="26"/>
      <c r="H42" s="25"/>
      <c r="I42" s="45">
        <v>20</v>
      </c>
      <c r="J42" s="46">
        <f t="shared" si="0"/>
        <v>0</v>
      </c>
    </row>
    <row r="43" ht="18.75" customHeight="1" spans="1:10">
      <c r="A43" s="27" t="s">
        <v>543</v>
      </c>
      <c r="B43" s="31" t="s">
        <v>544</v>
      </c>
      <c r="C43" s="33"/>
      <c r="D43" s="36"/>
      <c r="E43" s="36"/>
      <c r="F43" s="36"/>
      <c r="G43" s="36"/>
      <c r="H43" s="36"/>
      <c r="I43" s="45">
        <v>20</v>
      </c>
      <c r="J43" s="46">
        <f t="shared" si="0"/>
        <v>0</v>
      </c>
    </row>
    <row r="44" ht="18.75" customHeight="1" spans="1:10">
      <c r="A44" s="23" t="s">
        <v>545</v>
      </c>
      <c r="B44" s="34" t="s">
        <v>546</v>
      </c>
      <c r="C44" s="22"/>
      <c r="D44" s="22"/>
      <c r="E44" s="30"/>
      <c r="F44" s="30"/>
      <c r="G44" s="30"/>
      <c r="H44" s="22"/>
      <c r="I44" s="45">
        <v>20</v>
      </c>
      <c r="J44" s="46">
        <f t="shared" si="0"/>
        <v>0</v>
      </c>
    </row>
    <row r="45" ht="18.75" customHeight="1" spans="1:10">
      <c r="A45" s="23" t="s">
        <v>547</v>
      </c>
      <c r="B45" s="31" t="s">
        <v>548</v>
      </c>
      <c r="C45" s="25"/>
      <c r="D45" s="25"/>
      <c r="E45" s="26"/>
      <c r="F45" s="26"/>
      <c r="G45" s="26"/>
      <c r="H45" s="25"/>
      <c r="I45" s="45">
        <v>20</v>
      </c>
      <c r="J45" s="46">
        <f t="shared" si="0"/>
        <v>0</v>
      </c>
    </row>
    <row r="46" ht="18.75" customHeight="1" spans="1:10">
      <c r="A46" s="23" t="s">
        <v>549</v>
      </c>
      <c r="B46" s="31" t="s">
        <v>550</v>
      </c>
      <c r="C46" s="33"/>
      <c r="D46" s="35"/>
      <c r="E46" s="35"/>
      <c r="F46" s="35"/>
      <c r="G46" s="35"/>
      <c r="H46" s="35"/>
      <c r="I46" s="45">
        <v>20</v>
      </c>
      <c r="J46" s="46">
        <f t="shared" si="0"/>
        <v>0</v>
      </c>
    </row>
    <row r="47" ht="18.75" customHeight="1" spans="1:10">
      <c r="A47" s="23" t="s">
        <v>551</v>
      </c>
      <c r="B47" s="34" t="s">
        <v>552</v>
      </c>
      <c r="C47" s="22"/>
      <c r="D47" s="22"/>
      <c r="E47" s="30"/>
      <c r="F47" s="30"/>
      <c r="G47" s="30"/>
      <c r="H47" s="22"/>
      <c r="I47" s="45">
        <v>20</v>
      </c>
      <c r="J47" s="46">
        <f t="shared" si="0"/>
        <v>0</v>
      </c>
    </row>
    <row r="48" ht="18.75" customHeight="1" spans="1:10">
      <c r="A48" s="23" t="s">
        <v>553</v>
      </c>
      <c r="B48" s="31" t="s">
        <v>554</v>
      </c>
      <c r="C48" s="33"/>
      <c r="D48" s="35"/>
      <c r="E48" s="35"/>
      <c r="F48" s="35">
        <v>19</v>
      </c>
      <c r="G48" s="35"/>
      <c r="H48" s="35"/>
      <c r="I48" s="45">
        <v>20</v>
      </c>
      <c r="J48" s="46">
        <f t="shared" si="0"/>
        <v>19</v>
      </c>
    </row>
    <row r="49" ht="18.75" customHeight="1" spans="1:10">
      <c r="A49" s="23" t="s">
        <v>555</v>
      </c>
      <c r="B49" s="31" t="s">
        <v>556</v>
      </c>
      <c r="C49" s="33">
        <v>20</v>
      </c>
      <c r="D49" s="35"/>
      <c r="E49" s="35"/>
      <c r="F49" s="35"/>
      <c r="G49" s="35"/>
      <c r="H49" s="35"/>
      <c r="I49" s="45">
        <v>20</v>
      </c>
      <c r="J49" s="46">
        <f t="shared" si="0"/>
        <v>20</v>
      </c>
    </row>
    <row r="50" ht="18.75" customHeight="1" spans="1:10">
      <c r="A50" s="23" t="s">
        <v>557</v>
      </c>
      <c r="B50" s="31" t="s">
        <v>558</v>
      </c>
      <c r="C50" s="33"/>
      <c r="D50" s="35"/>
      <c r="E50" s="35"/>
      <c r="F50" s="35"/>
      <c r="G50" s="35"/>
      <c r="H50" s="35"/>
      <c r="I50" s="45">
        <v>20</v>
      </c>
      <c r="J50" s="46">
        <f t="shared" si="0"/>
        <v>0</v>
      </c>
    </row>
    <row r="51" ht="18.75" customHeight="1" spans="1:10">
      <c r="A51" s="27" t="s">
        <v>559</v>
      </c>
      <c r="B51" s="31" t="s">
        <v>560</v>
      </c>
      <c r="C51" s="32"/>
      <c r="D51" s="32"/>
      <c r="E51" s="33">
        <v>14</v>
      </c>
      <c r="F51" s="33">
        <v>14</v>
      </c>
      <c r="G51" s="33"/>
      <c r="H51" s="32"/>
      <c r="I51" s="45">
        <v>20</v>
      </c>
      <c r="J51" s="46">
        <f t="shared" si="0"/>
        <v>28</v>
      </c>
    </row>
    <row r="52" ht="18.75" customHeight="1" spans="1:10">
      <c r="A52" s="27" t="s">
        <v>561</v>
      </c>
      <c r="B52" s="31" t="s">
        <v>562</v>
      </c>
      <c r="C52" s="32"/>
      <c r="D52" s="32"/>
      <c r="E52" s="33"/>
      <c r="F52" s="33"/>
      <c r="G52" s="33"/>
      <c r="H52" s="32"/>
      <c r="I52" s="45">
        <v>20</v>
      </c>
      <c r="J52" s="46">
        <f t="shared" si="0"/>
        <v>0</v>
      </c>
    </row>
    <row r="53" ht="18.75" customHeight="1" spans="1:10">
      <c r="A53" s="23" t="s">
        <v>563</v>
      </c>
      <c r="B53" s="31" t="s">
        <v>564</v>
      </c>
      <c r="C53" s="25"/>
      <c r="D53" s="25"/>
      <c r="E53" s="33"/>
      <c r="F53" s="33"/>
      <c r="G53" s="33"/>
      <c r="H53" s="25">
        <v>20</v>
      </c>
      <c r="I53" s="45">
        <v>20</v>
      </c>
      <c r="J53" s="46">
        <f t="shared" si="0"/>
        <v>20</v>
      </c>
    </row>
    <row r="54" ht="18.75" customHeight="1" spans="1:10">
      <c r="A54" s="23" t="s">
        <v>565</v>
      </c>
      <c r="B54" s="31" t="s">
        <v>566</v>
      </c>
      <c r="C54" s="25"/>
      <c r="D54" s="25"/>
      <c r="E54" s="33"/>
      <c r="F54" s="33"/>
      <c r="G54" s="33"/>
      <c r="H54" s="25"/>
      <c r="I54" s="45">
        <v>20</v>
      </c>
      <c r="J54" s="46">
        <f t="shared" si="0"/>
        <v>0</v>
      </c>
    </row>
    <row r="55" ht="18.75" customHeight="1" spans="1:10">
      <c r="A55" s="23" t="s">
        <v>567</v>
      </c>
      <c r="B55" s="31" t="s">
        <v>568</v>
      </c>
      <c r="C55" s="33"/>
      <c r="D55" s="36"/>
      <c r="E55" s="36"/>
      <c r="F55" s="36"/>
      <c r="G55" s="36"/>
      <c r="H55" s="36"/>
      <c r="I55" s="45">
        <v>20</v>
      </c>
      <c r="J55" s="46">
        <f t="shared" si="0"/>
        <v>0</v>
      </c>
    </row>
    <row r="56" ht="18.75" customHeight="1" spans="1:10">
      <c r="A56" s="27" t="s">
        <v>569</v>
      </c>
      <c r="B56" s="31" t="s">
        <v>570</v>
      </c>
      <c r="C56" s="33"/>
      <c r="D56" s="36"/>
      <c r="E56" s="36"/>
      <c r="F56" s="36"/>
      <c r="G56" s="36"/>
      <c r="H56" s="36"/>
      <c r="I56" s="45">
        <v>20</v>
      </c>
      <c r="J56" s="46">
        <f t="shared" si="0"/>
        <v>0</v>
      </c>
    </row>
    <row r="57" ht="18.75" customHeight="1" spans="1:10">
      <c r="A57" s="23" t="s">
        <v>571</v>
      </c>
      <c r="B57" s="31" t="s">
        <v>572</v>
      </c>
      <c r="C57" s="33"/>
      <c r="D57" s="36"/>
      <c r="E57" s="36"/>
      <c r="F57" s="36"/>
      <c r="G57" s="36"/>
      <c r="H57" s="36"/>
      <c r="I57" s="45">
        <v>20</v>
      </c>
      <c r="J57" s="46">
        <f t="shared" si="0"/>
        <v>0</v>
      </c>
    </row>
    <row r="58" ht="18.75" customHeight="1" spans="1:10">
      <c r="A58" s="23" t="s">
        <v>573</v>
      </c>
      <c r="B58" s="31" t="s">
        <v>574</v>
      </c>
      <c r="C58" s="33"/>
      <c r="D58" s="42"/>
      <c r="E58" s="36"/>
      <c r="F58" s="36"/>
      <c r="G58" s="36"/>
      <c r="H58" s="36"/>
      <c r="I58" s="45">
        <v>20</v>
      </c>
      <c r="J58" s="46">
        <f t="shared" si="0"/>
        <v>0</v>
      </c>
    </row>
    <row r="59" ht="18.75" customHeight="1" spans="1:10">
      <c r="A59" s="27" t="s">
        <v>575</v>
      </c>
      <c r="B59" s="31" t="s">
        <v>576</v>
      </c>
      <c r="C59" s="33"/>
      <c r="D59" s="36"/>
      <c r="E59" s="36"/>
      <c r="F59" s="36"/>
      <c r="G59" s="36"/>
      <c r="H59" s="36"/>
      <c r="I59" s="45">
        <v>20</v>
      </c>
      <c r="J59" s="46">
        <f t="shared" si="0"/>
        <v>0</v>
      </c>
    </row>
    <row r="60" ht="18.75" customHeight="1" spans="1:10">
      <c r="A60" s="27" t="s">
        <v>577</v>
      </c>
      <c r="B60" s="31" t="s">
        <v>578</v>
      </c>
      <c r="C60" s="33"/>
      <c r="D60" s="36"/>
      <c r="E60" s="36"/>
      <c r="F60" s="36"/>
      <c r="G60" s="36"/>
      <c r="H60" s="36"/>
      <c r="I60" s="45">
        <v>20</v>
      </c>
      <c r="J60" s="46">
        <f t="shared" si="0"/>
        <v>0</v>
      </c>
    </row>
    <row r="61" ht="18.75" customHeight="1" spans="1:10">
      <c r="A61" s="23" t="s">
        <v>579</v>
      </c>
      <c r="B61" s="31" t="s">
        <v>580</v>
      </c>
      <c r="C61" s="25"/>
      <c r="D61" s="25"/>
      <c r="E61" s="33">
        <v>22</v>
      </c>
      <c r="F61" s="33">
        <v>22</v>
      </c>
      <c r="G61" s="33">
        <v>22</v>
      </c>
      <c r="H61" s="25"/>
      <c r="I61" s="45">
        <v>20</v>
      </c>
      <c r="J61" s="46">
        <f t="shared" si="0"/>
        <v>66</v>
      </c>
    </row>
    <row r="62" ht="18.75" customHeight="1" spans="1:10">
      <c r="A62" s="27" t="s">
        <v>581</v>
      </c>
      <c r="B62" s="31" t="s">
        <v>582</v>
      </c>
      <c r="C62" s="33"/>
      <c r="D62" s="36"/>
      <c r="E62" s="36"/>
      <c r="F62" s="36"/>
      <c r="G62" s="36"/>
      <c r="H62" s="36"/>
      <c r="I62" s="45">
        <v>20</v>
      </c>
      <c r="J62" s="46">
        <f t="shared" si="0"/>
        <v>0</v>
      </c>
    </row>
    <row r="63" ht="18.75" customHeight="1" spans="1:10">
      <c r="A63" s="27" t="s">
        <v>583</v>
      </c>
      <c r="B63" s="31" t="s">
        <v>584</v>
      </c>
      <c r="C63" s="33"/>
      <c r="D63" s="36"/>
      <c r="E63" s="36"/>
      <c r="F63" s="36"/>
      <c r="G63" s="36"/>
      <c r="H63" s="36"/>
      <c r="I63" s="45">
        <v>20</v>
      </c>
      <c r="J63" s="46">
        <f t="shared" si="0"/>
        <v>0</v>
      </c>
    </row>
    <row r="64" ht="18.75" customHeight="1" spans="1:10">
      <c r="A64" s="23" t="s">
        <v>585</v>
      </c>
      <c r="B64" s="31" t="s">
        <v>586</v>
      </c>
      <c r="C64" s="33">
        <v>14</v>
      </c>
      <c r="D64" s="25"/>
      <c r="E64" s="25"/>
      <c r="F64" s="25"/>
      <c r="G64" s="25"/>
      <c r="H64" s="25"/>
      <c r="I64" s="45">
        <v>20</v>
      </c>
      <c r="J64" s="46">
        <f t="shared" si="0"/>
        <v>14</v>
      </c>
    </row>
    <row r="65" ht="18.75" customHeight="1" spans="1:10">
      <c r="A65" s="23" t="s">
        <v>587</v>
      </c>
      <c r="B65" s="31" t="s">
        <v>588</v>
      </c>
      <c r="C65" s="25"/>
      <c r="D65" s="26"/>
      <c r="E65" s="33"/>
      <c r="F65" s="33"/>
      <c r="G65" s="33"/>
      <c r="H65" s="25"/>
      <c r="I65" s="45">
        <v>20</v>
      </c>
      <c r="J65" s="46">
        <f t="shared" si="0"/>
        <v>0</v>
      </c>
    </row>
    <row r="66" ht="18.75" customHeight="1" spans="1:10">
      <c r="A66" s="27" t="s">
        <v>589</v>
      </c>
      <c r="B66" s="31" t="s">
        <v>590</v>
      </c>
      <c r="C66" s="32"/>
      <c r="D66" s="32"/>
      <c r="E66" s="33">
        <v>10</v>
      </c>
      <c r="F66" s="33"/>
      <c r="G66" s="33">
        <v>5</v>
      </c>
      <c r="H66" s="26">
        <v>11</v>
      </c>
      <c r="I66" s="45">
        <v>20</v>
      </c>
      <c r="J66" s="46">
        <f t="shared" si="0"/>
        <v>26</v>
      </c>
    </row>
    <row r="67" ht="18.75" customHeight="1" spans="1:10">
      <c r="A67" s="23" t="s">
        <v>591</v>
      </c>
      <c r="B67" s="34" t="s">
        <v>592</v>
      </c>
      <c r="C67" s="22"/>
      <c r="D67" s="22"/>
      <c r="E67" s="30">
        <v>20</v>
      </c>
      <c r="F67" s="30">
        <v>10</v>
      </c>
      <c r="G67" s="30">
        <v>10</v>
      </c>
      <c r="H67" s="30"/>
      <c r="I67" s="45">
        <v>20</v>
      </c>
      <c r="J67" s="46">
        <f t="shared" ref="J67:J130" si="1">SUM(C67:H67)</f>
        <v>40</v>
      </c>
    </row>
    <row r="68" ht="18.75" customHeight="1" spans="1:10">
      <c r="A68" s="27" t="s">
        <v>593</v>
      </c>
      <c r="B68" s="31" t="s">
        <v>594</v>
      </c>
      <c r="C68" s="32"/>
      <c r="D68" s="32"/>
      <c r="E68" s="33"/>
      <c r="F68" s="33"/>
      <c r="G68" s="33"/>
      <c r="H68" s="26"/>
      <c r="I68" s="45">
        <v>20</v>
      </c>
      <c r="J68" s="46">
        <f t="shared" si="1"/>
        <v>0</v>
      </c>
    </row>
    <row r="69" ht="18.75" customHeight="1" spans="1:10">
      <c r="A69" s="27" t="s">
        <v>595</v>
      </c>
      <c r="B69" s="31" t="s">
        <v>596</v>
      </c>
      <c r="C69" s="32"/>
      <c r="D69" s="32"/>
      <c r="E69" s="33"/>
      <c r="F69" s="33"/>
      <c r="G69" s="33"/>
      <c r="H69" s="26"/>
      <c r="I69" s="45">
        <v>20</v>
      </c>
      <c r="J69" s="46">
        <f t="shared" si="1"/>
        <v>0</v>
      </c>
    </row>
    <row r="70" ht="18.75" customHeight="1" spans="1:10">
      <c r="A70" s="27" t="s">
        <v>597</v>
      </c>
      <c r="B70" s="31" t="s">
        <v>598</v>
      </c>
      <c r="C70" s="32"/>
      <c r="D70" s="32"/>
      <c r="E70" s="33">
        <v>17</v>
      </c>
      <c r="F70" s="33"/>
      <c r="G70" s="33"/>
      <c r="H70" s="26"/>
      <c r="I70" s="45">
        <v>20</v>
      </c>
      <c r="J70" s="46">
        <f t="shared" si="1"/>
        <v>17</v>
      </c>
    </row>
    <row r="71" ht="18.75" customHeight="1" spans="1:10">
      <c r="A71" s="27" t="s">
        <v>599</v>
      </c>
      <c r="B71" s="31" t="s">
        <v>600</v>
      </c>
      <c r="C71" s="22"/>
      <c r="D71" s="22"/>
      <c r="E71" s="40"/>
      <c r="F71" s="40"/>
      <c r="G71" s="40">
        <v>25</v>
      </c>
      <c r="H71" s="30"/>
      <c r="I71" s="45">
        <v>20</v>
      </c>
      <c r="J71" s="46">
        <f t="shared" si="1"/>
        <v>25</v>
      </c>
    </row>
    <row r="72" ht="18.75" customHeight="1" spans="1:10">
      <c r="A72" s="23" t="s">
        <v>601</v>
      </c>
      <c r="B72" s="34" t="s">
        <v>602</v>
      </c>
      <c r="C72" s="22"/>
      <c r="D72" s="22"/>
      <c r="E72" s="30"/>
      <c r="F72" s="30"/>
      <c r="G72" s="30"/>
      <c r="H72" s="30"/>
      <c r="I72" s="45">
        <v>20</v>
      </c>
      <c r="J72" s="46">
        <f t="shared" si="1"/>
        <v>0</v>
      </c>
    </row>
    <row r="73" ht="18.75" customHeight="1" spans="1:10">
      <c r="A73" s="27" t="s">
        <v>603</v>
      </c>
      <c r="B73" s="31" t="s">
        <v>773</v>
      </c>
      <c r="C73" s="22"/>
      <c r="D73" s="22"/>
      <c r="E73" s="40"/>
      <c r="F73" s="40"/>
      <c r="G73" s="40"/>
      <c r="H73" s="30"/>
      <c r="I73" s="45">
        <v>20</v>
      </c>
      <c r="J73" s="46">
        <f t="shared" si="1"/>
        <v>0</v>
      </c>
    </row>
    <row r="74" ht="18.75" customHeight="1" spans="1:10">
      <c r="A74" s="27" t="s">
        <v>605</v>
      </c>
      <c r="B74" s="31" t="s">
        <v>606</v>
      </c>
      <c r="C74" s="32"/>
      <c r="D74" s="32"/>
      <c r="E74" s="33">
        <v>15</v>
      </c>
      <c r="F74" s="33"/>
      <c r="G74" s="33"/>
      <c r="H74" s="26"/>
      <c r="I74" s="45">
        <v>20</v>
      </c>
      <c r="J74" s="46">
        <f t="shared" si="1"/>
        <v>15</v>
      </c>
    </row>
    <row r="75" ht="18.75" customHeight="1" spans="1:10">
      <c r="A75" s="27" t="s">
        <v>607</v>
      </c>
      <c r="B75" s="31" t="s">
        <v>608</v>
      </c>
      <c r="C75" s="32"/>
      <c r="D75" s="32"/>
      <c r="E75" s="33"/>
      <c r="F75" s="33"/>
      <c r="G75" s="33"/>
      <c r="H75" s="26"/>
      <c r="I75" s="45">
        <v>20</v>
      </c>
      <c r="J75" s="46">
        <f t="shared" si="1"/>
        <v>0</v>
      </c>
    </row>
    <row r="76" ht="18.75" customHeight="1" spans="1:10">
      <c r="A76" s="27" t="s">
        <v>609</v>
      </c>
      <c r="B76" s="31" t="s">
        <v>610</v>
      </c>
      <c r="C76" s="22"/>
      <c r="D76" s="22"/>
      <c r="E76" s="40"/>
      <c r="F76" s="40"/>
      <c r="G76" s="40"/>
      <c r="H76" s="30"/>
      <c r="I76" s="45">
        <v>20</v>
      </c>
      <c r="J76" s="46">
        <f t="shared" si="1"/>
        <v>0</v>
      </c>
    </row>
    <row r="77" ht="18.75" customHeight="1" spans="1:10">
      <c r="A77" s="27" t="s">
        <v>611</v>
      </c>
      <c r="B77" s="31" t="s">
        <v>612</v>
      </c>
      <c r="C77" s="25"/>
      <c r="D77" s="26"/>
      <c r="E77" s="25"/>
      <c r="F77" s="25"/>
      <c r="G77" s="25"/>
      <c r="H77" s="25"/>
      <c r="I77" s="45">
        <v>20</v>
      </c>
      <c r="J77" s="46">
        <f t="shared" si="1"/>
        <v>0</v>
      </c>
    </row>
    <row r="78" ht="18.75" customHeight="1" spans="1:10">
      <c r="A78" s="27" t="s">
        <v>613</v>
      </c>
      <c r="B78" s="31" t="s">
        <v>614</v>
      </c>
      <c r="C78" s="47"/>
      <c r="D78" s="48"/>
      <c r="E78" s="48"/>
      <c r="F78" s="30"/>
      <c r="G78" s="30"/>
      <c r="H78" s="30"/>
      <c r="I78" s="45">
        <v>20</v>
      </c>
      <c r="J78" s="46">
        <f t="shared" si="1"/>
        <v>0</v>
      </c>
    </row>
    <row r="79" ht="18.75" customHeight="1" spans="1:10">
      <c r="A79" s="27" t="s">
        <v>615</v>
      </c>
      <c r="B79" s="31" t="s">
        <v>616</v>
      </c>
      <c r="C79" s="47"/>
      <c r="D79" s="48"/>
      <c r="E79" s="48"/>
      <c r="F79" s="30"/>
      <c r="G79" s="30"/>
      <c r="H79" s="30"/>
      <c r="I79" s="45">
        <v>20</v>
      </c>
      <c r="J79" s="46">
        <f t="shared" si="1"/>
        <v>0</v>
      </c>
    </row>
    <row r="80" ht="18.75" customHeight="1" spans="1:10">
      <c r="A80" s="27" t="s">
        <v>617</v>
      </c>
      <c r="B80" s="31" t="s">
        <v>618</v>
      </c>
      <c r="C80" s="22"/>
      <c r="D80" s="22"/>
      <c r="E80" s="40"/>
      <c r="F80" s="40"/>
      <c r="G80" s="40"/>
      <c r="H80" s="30"/>
      <c r="I80" s="45">
        <v>20</v>
      </c>
      <c r="J80" s="46">
        <f t="shared" si="1"/>
        <v>0</v>
      </c>
    </row>
    <row r="81" ht="18.75" customHeight="1" spans="1:10">
      <c r="A81" s="27" t="s">
        <v>619</v>
      </c>
      <c r="B81" s="31" t="s">
        <v>620</v>
      </c>
      <c r="C81" s="22"/>
      <c r="D81" s="22"/>
      <c r="E81" s="40">
        <v>10</v>
      </c>
      <c r="F81" s="40">
        <v>10</v>
      </c>
      <c r="G81" s="40">
        <v>10</v>
      </c>
      <c r="H81" s="30"/>
      <c r="I81" s="45">
        <v>20</v>
      </c>
      <c r="J81" s="46">
        <f t="shared" si="1"/>
        <v>30</v>
      </c>
    </row>
    <row r="82" ht="18.75" customHeight="1" spans="1:10">
      <c r="A82" s="27" t="s">
        <v>621</v>
      </c>
      <c r="B82" s="31" t="s">
        <v>622</v>
      </c>
      <c r="C82" s="33"/>
      <c r="D82" s="36"/>
      <c r="E82" s="36"/>
      <c r="F82" s="36"/>
      <c r="G82" s="36"/>
      <c r="H82" s="36"/>
      <c r="I82" s="45">
        <v>20</v>
      </c>
      <c r="J82" s="46">
        <f t="shared" si="1"/>
        <v>0</v>
      </c>
    </row>
    <row r="83" ht="18.75" customHeight="1" spans="1:10">
      <c r="A83" s="27" t="s">
        <v>623</v>
      </c>
      <c r="B83" s="31" t="s">
        <v>624</v>
      </c>
      <c r="C83" s="33"/>
      <c r="D83" s="36"/>
      <c r="E83" s="36"/>
      <c r="F83" s="36"/>
      <c r="G83" s="36"/>
      <c r="H83" s="36"/>
      <c r="I83" s="45">
        <v>20</v>
      </c>
      <c r="J83" s="46">
        <f t="shared" si="1"/>
        <v>0</v>
      </c>
    </row>
    <row r="84" ht="18.75" customHeight="1" spans="1:10">
      <c r="A84" s="27" t="s">
        <v>625</v>
      </c>
      <c r="B84" s="31" t="s">
        <v>626</v>
      </c>
      <c r="C84" s="33"/>
      <c r="D84" s="36"/>
      <c r="E84" s="36"/>
      <c r="F84" s="36"/>
      <c r="G84" s="36"/>
      <c r="H84" s="36"/>
      <c r="I84" s="45">
        <v>20</v>
      </c>
      <c r="J84" s="46">
        <f t="shared" si="1"/>
        <v>0</v>
      </c>
    </row>
    <row r="85" ht="18.75" customHeight="1" spans="1:10">
      <c r="A85" s="27" t="s">
        <v>627</v>
      </c>
      <c r="B85" s="31" t="s">
        <v>628</v>
      </c>
      <c r="C85" s="33"/>
      <c r="D85" s="36"/>
      <c r="E85" s="36"/>
      <c r="F85" s="36"/>
      <c r="G85" s="36"/>
      <c r="H85" s="36"/>
      <c r="I85" s="45">
        <v>20</v>
      </c>
      <c r="J85" s="46">
        <f t="shared" si="1"/>
        <v>0</v>
      </c>
    </row>
    <row r="86" ht="18.75" customHeight="1" spans="1:10">
      <c r="A86" s="27" t="s">
        <v>629</v>
      </c>
      <c r="B86" s="31" t="s">
        <v>630</v>
      </c>
      <c r="C86" s="33"/>
      <c r="D86" s="36"/>
      <c r="E86" s="36"/>
      <c r="F86" s="36"/>
      <c r="G86" s="36"/>
      <c r="H86" s="36"/>
      <c r="I86" s="45">
        <v>20</v>
      </c>
      <c r="J86" s="46">
        <f t="shared" si="1"/>
        <v>0</v>
      </c>
    </row>
    <row r="87" ht="18.75" customHeight="1" spans="1:10">
      <c r="A87" s="27" t="s">
        <v>631</v>
      </c>
      <c r="B87" s="31" t="s">
        <v>632</v>
      </c>
      <c r="C87" s="33"/>
      <c r="D87" s="36"/>
      <c r="E87" s="36"/>
      <c r="F87" s="36"/>
      <c r="G87" s="36"/>
      <c r="H87" s="36"/>
      <c r="I87" s="45">
        <v>20</v>
      </c>
      <c r="J87" s="46">
        <f t="shared" si="1"/>
        <v>0</v>
      </c>
    </row>
    <row r="88" ht="18.75" customHeight="1" spans="1:10">
      <c r="A88" s="27" t="s">
        <v>633</v>
      </c>
      <c r="B88" s="31" t="s">
        <v>634</v>
      </c>
      <c r="C88" s="33"/>
      <c r="D88" s="36"/>
      <c r="E88" s="36"/>
      <c r="F88" s="36"/>
      <c r="G88" s="36"/>
      <c r="H88" s="36"/>
      <c r="I88" s="45">
        <v>20</v>
      </c>
      <c r="J88" s="46">
        <f t="shared" si="1"/>
        <v>0</v>
      </c>
    </row>
    <row r="89" ht="18.75" customHeight="1" spans="1:10">
      <c r="A89" s="27" t="s">
        <v>635</v>
      </c>
      <c r="B89" s="31" t="s">
        <v>636</v>
      </c>
      <c r="C89" s="29"/>
      <c r="D89" s="29"/>
      <c r="E89" s="40">
        <v>40</v>
      </c>
      <c r="F89" s="40">
        <v>40</v>
      </c>
      <c r="G89" s="40">
        <v>9</v>
      </c>
      <c r="H89" s="22"/>
      <c r="I89" s="45">
        <v>20</v>
      </c>
      <c r="J89" s="46">
        <f t="shared" si="1"/>
        <v>89</v>
      </c>
    </row>
    <row r="90" ht="18.75" customHeight="1" spans="1:10">
      <c r="A90" s="27" t="s">
        <v>637</v>
      </c>
      <c r="B90" s="31" t="s">
        <v>638</v>
      </c>
      <c r="C90" s="33"/>
      <c r="D90" s="36"/>
      <c r="E90" s="36"/>
      <c r="F90" s="36"/>
      <c r="G90" s="36"/>
      <c r="H90" s="36"/>
      <c r="I90" s="45">
        <v>20</v>
      </c>
      <c r="J90" s="46">
        <f t="shared" si="1"/>
        <v>0</v>
      </c>
    </row>
    <row r="91" ht="18.75" customHeight="1" spans="1:10">
      <c r="A91" s="49" t="s">
        <v>639</v>
      </c>
      <c r="B91" s="50" t="s">
        <v>640</v>
      </c>
      <c r="C91" s="51">
        <v>20</v>
      </c>
      <c r="D91" s="51"/>
      <c r="E91" s="51"/>
      <c r="F91" s="51"/>
      <c r="G91" s="51"/>
      <c r="H91" s="51"/>
      <c r="I91" s="45">
        <v>20</v>
      </c>
      <c r="J91" s="46">
        <f t="shared" si="1"/>
        <v>20</v>
      </c>
    </row>
    <row r="92" ht="18.75" customHeight="1" spans="1:10">
      <c r="A92" s="27" t="s">
        <v>641</v>
      </c>
      <c r="B92" s="31" t="s">
        <v>642</v>
      </c>
      <c r="C92" s="25"/>
      <c r="D92" s="25"/>
      <c r="E92" s="26"/>
      <c r="F92" s="26"/>
      <c r="G92" s="26"/>
      <c r="H92" s="25"/>
      <c r="I92" s="45">
        <v>20</v>
      </c>
      <c r="J92" s="46">
        <f t="shared" si="1"/>
        <v>0</v>
      </c>
    </row>
    <row r="93" ht="18.75" customHeight="1" spans="1:10">
      <c r="A93" s="27" t="s">
        <v>643</v>
      </c>
      <c r="B93" s="31" t="s">
        <v>644</v>
      </c>
      <c r="C93" s="25"/>
      <c r="D93" s="25"/>
      <c r="E93" s="26"/>
      <c r="F93" s="26"/>
      <c r="G93" s="26">
        <v>28</v>
      </c>
      <c r="H93" s="25"/>
      <c r="I93" s="45">
        <v>20</v>
      </c>
      <c r="J93" s="46">
        <f t="shared" si="1"/>
        <v>28</v>
      </c>
    </row>
    <row r="94" ht="18.75" customHeight="1" spans="1:10">
      <c r="A94" s="27" t="s">
        <v>645</v>
      </c>
      <c r="B94" s="31" t="s">
        <v>646</v>
      </c>
      <c r="C94" s="33">
        <v>8</v>
      </c>
      <c r="D94" s="25"/>
      <c r="E94" s="25"/>
      <c r="F94" s="25"/>
      <c r="G94" s="25"/>
      <c r="H94" s="25"/>
      <c r="I94" s="45">
        <v>20</v>
      </c>
      <c r="J94" s="46">
        <f t="shared" si="1"/>
        <v>8</v>
      </c>
    </row>
    <row r="95" ht="18.75" customHeight="1" spans="1:10">
      <c r="A95" s="27" t="s">
        <v>647</v>
      </c>
      <c r="B95" s="31" t="s">
        <v>648</v>
      </c>
      <c r="C95" s="33">
        <v>7</v>
      </c>
      <c r="D95" s="25"/>
      <c r="E95" s="25"/>
      <c r="F95" s="25"/>
      <c r="G95" s="25"/>
      <c r="H95" s="25"/>
      <c r="I95" s="45">
        <v>20</v>
      </c>
      <c r="J95" s="46">
        <f t="shared" si="1"/>
        <v>7</v>
      </c>
    </row>
    <row r="96" ht="18.75" customHeight="1" spans="1:10">
      <c r="A96" s="27" t="s">
        <v>649</v>
      </c>
      <c r="B96" s="41" t="s">
        <v>650</v>
      </c>
      <c r="C96" s="33"/>
      <c r="D96" s="25"/>
      <c r="E96" s="25"/>
      <c r="F96" s="25"/>
      <c r="G96" s="25"/>
      <c r="H96" s="25"/>
      <c r="I96" s="45">
        <v>20</v>
      </c>
      <c r="J96" s="46">
        <f t="shared" si="1"/>
        <v>0</v>
      </c>
    </row>
    <row r="97" ht="18.75" customHeight="1" spans="1:10">
      <c r="A97" s="27" t="s">
        <v>651</v>
      </c>
      <c r="B97" s="41" t="s">
        <v>652</v>
      </c>
      <c r="C97" s="25"/>
      <c r="D97" s="25"/>
      <c r="E97" s="33"/>
      <c r="F97" s="33"/>
      <c r="G97" s="33"/>
      <c r="H97" s="25"/>
      <c r="I97" s="45">
        <v>20</v>
      </c>
      <c r="J97" s="46">
        <f t="shared" si="1"/>
        <v>0</v>
      </c>
    </row>
    <row r="98" ht="18.75" customHeight="1" spans="1:10">
      <c r="A98" s="27" t="s">
        <v>653</v>
      </c>
      <c r="B98" s="31" t="s">
        <v>654</v>
      </c>
      <c r="C98" s="32"/>
      <c r="D98" s="32"/>
      <c r="E98" s="33"/>
      <c r="F98" s="33">
        <v>10</v>
      </c>
      <c r="G98" s="33"/>
      <c r="H98" s="32"/>
      <c r="I98" s="45">
        <v>20</v>
      </c>
      <c r="J98" s="46">
        <f t="shared" si="1"/>
        <v>10</v>
      </c>
    </row>
    <row r="99" ht="18.75" customHeight="1" spans="1:10">
      <c r="A99" s="27" t="s">
        <v>655</v>
      </c>
      <c r="B99" s="31" t="s">
        <v>656</v>
      </c>
      <c r="C99" s="32"/>
      <c r="D99" s="32"/>
      <c r="E99" s="33">
        <v>20</v>
      </c>
      <c r="F99" s="33">
        <v>10</v>
      </c>
      <c r="G99" s="33">
        <v>10</v>
      </c>
      <c r="H99" s="32"/>
      <c r="I99" s="45">
        <v>20</v>
      </c>
      <c r="J99" s="46">
        <f t="shared" si="1"/>
        <v>40</v>
      </c>
    </row>
    <row r="100" ht="18.75" customHeight="1" spans="1:10">
      <c r="A100" s="27" t="s">
        <v>657</v>
      </c>
      <c r="B100" s="31" t="s">
        <v>658</v>
      </c>
      <c r="C100" s="32"/>
      <c r="D100" s="32"/>
      <c r="E100" s="33"/>
      <c r="F100" s="33"/>
      <c r="G100" s="33"/>
      <c r="H100" s="32"/>
      <c r="I100" s="45">
        <v>20</v>
      </c>
      <c r="J100" s="46">
        <f t="shared" si="1"/>
        <v>0</v>
      </c>
    </row>
    <row r="101" ht="18.75" customHeight="1" spans="1:10">
      <c r="A101" s="27" t="s">
        <v>659</v>
      </c>
      <c r="B101" s="31" t="s">
        <v>660</v>
      </c>
      <c r="C101" s="32"/>
      <c r="D101" s="32"/>
      <c r="E101" s="33">
        <v>10</v>
      </c>
      <c r="F101" s="33">
        <v>10</v>
      </c>
      <c r="G101" s="33">
        <v>10</v>
      </c>
      <c r="H101" s="32"/>
      <c r="I101" s="45">
        <v>20</v>
      </c>
      <c r="J101" s="46">
        <f t="shared" si="1"/>
        <v>30</v>
      </c>
    </row>
    <row r="102" ht="18.75" customHeight="1" spans="1:10">
      <c r="A102" s="27" t="s">
        <v>661</v>
      </c>
      <c r="B102" s="31" t="s">
        <v>662</v>
      </c>
      <c r="C102" s="32"/>
      <c r="D102" s="32"/>
      <c r="E102" s="33"/>
      <c r="F102" s="33">
        <v>10</v>
      </c>
      <c r="G102" s="33"/>
      <c r="H102" s="32"/>
      <c r="I102" s="45">
        <v>20</v>
      </c>
      <c r="J102" s="46">
        <f t="shared" si="1"/>
        <v>10</v>
      </c>
    </row>
    <row r="103" ht="18.75" customHeight="1" spans="1:10">
      <c r="A103" s="27" t="s">
        <v>663</v>
      </c>
      <c r="B103" s="31" t="s">
        <v>664</v>
      </c>
      <c r="C103" s="32"/>
      <c r="D103" s="32"/>
      <c r="E103" s="33">
        <v>14</v>
      </c>
      <c r="F103" s="33">
        <v>14</v>
      </c>
      <c r="G103" s="33">
        <v>14</v>
      </c>
      <c r="H103" s="32"/>
      <c r="I103" s="45">
        <v>20</v>
      </c>
      <c r="J103" s="46">
        <f t="shared" si="1"/>
        <v>42</v>
      </c>
    </row>
    <row r="104" ht="18.75" customHeight="1" spans="1:10">
      <c r="A104" s="27" t="s">
        <v>665</v>
      </c>
      <c r="B104" s="31" t="s">
        <v>666</v>
      </c>
      <c r="C104" s="33">
        <v>17</v>
      </c>
      <c r="D104" s="25"/>
      <c r="E104" s="25"/>
      <c r="F104" s="25"/>
      <c r="G104" s="25"/>
      <c r="H104" s="25"/>
      <c r="I104" s="45">
        <v>20</v>
      </c>
      <c r="J104" s="46">
        <f t="shared" si="1"/>
        <v>17</v>
      </c>
    </row>
    <row r="105" ht="18.75" customHeight="1" spans="1:10">
      <c r="A105" s="27" t="s">
        <v>667</v>
      </c>
      <c r="B105" s="31" t="s">
        <v>668</v>
      </c>
      <c r="C105" s="25"/>
      <c r="D105" s="25"/>
      <c r="E105" s="33">
        <v>15</v>
      </c>
      <c r="F105" s="33">
        <v>15</v>
      </c>
      <c r="G105" s="33">
        <v>20</v>
      </c>
      <c r="H105" s="25"/>
      <c r="I105" s="45">
        <v>20</v>
      </c>
      <c r="J105" s="46">
        <f t="shared" si="1"/>
        <v>50</v>
      </c>
    </row>
    <row r="106" ht="18.75" customHeight="1" spans="1:11">
      <c r="A106" s="27" t="s">
        <v>669</v>
      </c>
      <c r="B106" s="31" t="s">
        <v>670</v>
      </c>
      <c r="C106" s="29"/>
      <c r="D106" s="29"/>
      <c r="E106" s="40"/>
      <c r="F106" s="40"/>
      <c r="G106" s="40"/>
      <c r="H106" s="22"/>
      <c r="I106" s="45">
        <v>20</v>
      </c>
      <c r="J106" s="46">
        <f t="shared" si="1"/>
        <v>0</v>
      </c>
      <c r="K106" s="52"/>
    </row>
    <row r="107" ht="18.75" customHeight="1" spans="1:11">
      <c r="A107" s="27" t="s">
        <v>671</v>
      </c>
      <c r="B107" s="31" t="s">
        <v>672</v>
      </c>
      <c r="C107" s="33"/>
      <c r="D107" s="25"/>
      <c r="E107" s="25"/>
      <c r="F107" s="25"/>
      <c r="G107" s="25"/>
      <c r="H107" s="25"/>
      <c r="I107" s="45">
        <v>20</v>
      </c>
      <c r="J107" s="46">
        <f t="shared" si="1"/>
        <v>0</v>
      </c>
      <c r="K107" s="52"/>
    </row>
    <row r="108" ht="18.75" customHeight="1" spans="1:10">
      <c r="A108" s="27" t="s">
        <v>673</v>
      </c>
      <c r="B108" s="31" t="s">
        <v>674</v>
      </c>
      <c r="C108" s="33"/>
      <c r="D108" s="25"/>
      <c r="E108" s="25"/>
      <c r="F108" s="25"/>
      <c r="G108" s="25"/>
      <c r="H108" s="25"/>
      <c r="I108" s="45">
        <v>20</v>
      </c>
      <c r="J108" s="46">
        <f t="shared" si="1"/>
        <v>0</v>
      </c>
    </row>
    <row r="109" ht="18.75" customHeight="1" spans="1:10">
      <c r="A109" s="27" t="s">
        <v>675</v>
      </c>
      <c r="B109" s="31" t="s">
        <v>676</v>
      </c>
      <c r="C109" s="22"/>
      <c r="D109" s="22"/>
      <c r="E109" s="40"/>
      <c r="F109" s="40"/>
      <c r="G109" s="40"/>
      <c r="H109" s="30"/>
      <c r="I109" s="45">
        <v>20</v>
      </c>
      <c r="J109" s="46">
        <f t="shared" si="1"/>
        <v>0</v>
      </c>
    </row>
    <row r="110" ht="18.75" customHeight="1" spans="1:10">
      <c r="A110" s="23" t="s">
        <v>677</v>
      </c>
      <c r="B110" s="34" t="s">
        <v>678</v>
      </c>
      <c r="C110" s="33"/>
      <c r="D110" s="36"/>
      <c r="E110" s="36"/>
      <c r="F110" s="36"/>
      <c r="G110" s="36"/>
      <c r="H110" s="36"/>
      <c r="I110" s="45">
        <v>20</v>
      </c>
      <c r="J110" s="46">
        <f t="shared" si="1"/>
        <v>0</v>
      </c>
    </row>
    <row r="111" ht="18.75" customHeight="1" spans="1:10">
      <c r="A111" s="23" t="s">
        <v>679</v>
      </c>
      <c r="B111" s="34" t="s">
        <v>680</v>
      </c>
      <c r="C111" s="26"/>
      <c r="D111" s="36"/>
      <c r="E111" s="36"/>
      <c r="F111" s="36"/>
      <c r="G111" s="36"/>
      <c r="H111" s="36"/>
      <c r="I111" s="45">
        <v>20</v>
      </c>
      <c r="J111" s="46">
        <f t="shared" si="1"/>
        <v>0</v>
      </c>
    </row>
    <row r="112" ht="18.75" customHeight="1" spans="1:10">
      <c r="A112" s="23" t="s">
        <v>681</v>
      </c>
      <c r="B112" s="34" t="s">
        <v>682</v>
      </c>
      <c r="C112" s="33"/>
      <c r="D112" s="36"/>
      <c r="E112" s="36"/>
      <c r="F112" s="36"/>
      <c r="G112" s="36"/>
      <c r="H112" s="36"/>
      <c r="I112" s="45">
        <v>20</v>
      </c>
      <c r="J112" s="46">
        <f t="shared" si="1"/>
        <v>0</v>
      </c>
    </row>
    <row r="113" ht="18.75" customHeight="1" spans="1:10">
      <c r="A113" s="23" t="s">
        <v>683</v>
      </c>
      <c r="B113" s="34" t="s">
        <v>684</v>
      </c>
      <c r="C113" s="33"/>
      <c r="D113" s="36"/>
      <c r="E113" s="36"/>
      <c r="F113" s="36"/>
      <c r="G113" s="36"/>
      <c r="H113" s="36"/>
      <c r="I113" s="45">
        <v>20</v>
      </c>
      <c r="J113" s="46">
        <f t="shared" si="1"/>
        <v>0</v>
      </c>
    </row>
    <row r="114" ht="18.75" customHeight="1" spans="1:10">
      <c r="A114" s="23" t="s">
        <v>685</v>
      </c>
      <c r="B114" s="34" t="s">
        <v>686</v>
      </c>
      <c r="C114" s="33"/>
      <c r="D114" s="36"/>
      <c r="E114" s="36"/>
      <c r="F114" s="36"/>
      <c r="G114" s="36"/>
      <c r="H114" s="36"/>
      <c r="I114" s="45">
        <v>20</v>
      </c>
      <c r="J114" s="46">
        <f t="shared" si="1"/>
        <v>0</v>
      </c>
    </row>
    <row r="115" ht="18.75" customHeight="1" spans="1:10">
      <c r="A115" s="23" t="s">
        <v>687</v>
      </c>
      <c r="B115" s="34" t="s">
        <v>688</v>
      </c>
      <c r="C115" s="33"/>
      <c r="D115" s="36"/>
      <c r="E115" s="36"/>
      <c r="F115" s="36"/>
      <c r="G115" s="36"/>
      <c r="H115" s="36"/>
      <c r="I115" s="45">
        <v>20</v>
      </c>
      <c r="J115" s="46">
        <f t="shared" si="1"/>
        <v>0</v>
      </c>
    </row>
    <row r="116" ht="18.75" customHeight="1" spans="1:10">
      <c r="A116" s="23" t="s">
        <v>689</v>
      </c>
      <c r="B116" s="34" t="s">
        <v>690</v>
      </c>
      <c r="C116" s="33"/>
      <c r="D116" s="36"/>
      <c r="E116" s="36"/>
      <c r="F116" s="36"/>
      <c r="G116" s="36"/>
      <c r="H116" s="36"/>
      <c r="I116" s="45">
        <v>20</v>
      </c>
      <c r="J116" s="46">
        <f t="shared" si="1"/>
        <v>0</v>
      </c>
    </row>
    <row r="117" ht="18.75" customHeight="1" spans="1:10">
      <c r="A117" s="23" t="s">
        <v>691</v>
      </c>
      <c r="B117" s="34" t="s">
        <v>692</v>
      </c>
      <c r="C117" s="33"/>
      <c r="D117" s="36"/>
      <c r="E117" s="36"/>
      <c r="F117" s="36"/>
      <c r="G117" s="36"/>
      <c r="H117" s="36"/>
      <c r="I117" s="45">
        <v>20</v>
      </c>
      <c r="J117" s="46">
        <f t="shared" si="1"/>
        <v>0</v>
      </c>
    </row>
    <row r="118" ht="18.75" customHeight="1" spans="1:10">
      <c r="A118" s="23" t="s">
        <v>693</v>
      </c>
      <c r="B118" s="34" t="s">
        <v>694</v>
      </c>
      <c r="C118" s="33"/>
      <c r="D118" s="36"/>
      <c r="E118" s="36"/>
      <c r="F118" s="36"/>
      <c r="G118" s="36"/>
      <c r="H118" s="36"/>
      <c r="I118" s="45">
        <v>20</v>
      </c>
      <c r="J118" s="46">
        <f t="shared" si="1"/>
        <v>0</v>
      </c>
    </row>
    <row r="119" ht="18.75" customHeight="1" spans="1:10">
      <c r="A119" s="23" t="s">
        <v>695</v>
      </c>
      <c r="B119" s="34" t="s">
        <v>696</v>
      </c>
      <c r="C119" s="33"/>
      <c r="D119" s="36"/>
      <c r="E119" s="36"/>
      <c r="F119" s="36"/>
      <c r="G119" s="36"/>
      <c r="H119" s="36"/>
      <c r="I119" s="45">
        <v>20</v>
      </c>
      <c r="J119" s="46">
        <f t="shared" si="1"/>
        <v>0</v>
      </c>
    </row>
    <row r="120" ht="18.75" customHeight="1" spans="1:10">
      <c r="A120" s="27" t="s">
        <v>697</v>
      </c>
      <c r="B120" s="31" t="s">
        <v>698</v>
      </c>
      <c r="C120" s="25"/>
      <c r="D120" s="25"/>
      <c r="E120" s="26"/>
      <c r="F120" s="26"/>
      <c r="G120" s="26"/>
      <c r="H120" s="26"/>
      <c r="I120" s="45">
        <v>20</v>
      </c>
      <c r="J120" s="46">
        <f t="shared" si="1"/>
        <v>0</v>
      </c>
    </row>
    <row r="121" ht="18.75" customHeight="1" spans="1:10">
      <c r="A121" s="27" t="s">
        <v>699</v>
      </c>
      <c r="B121" s="31" t="s">
        <v>700</v>
      </c>
      <c r="C121" s="25"/>
      <c r="D121" s="25"/>
      <c r="E121" s="26"/>
      <c r="F121" s="26">
        <v>0</v>
      </c>
      <c r="G121" s="26"/>
      <c r="H121" s="26">
        <v>10</v>
      </c>
      <c r="I121" s="45">
        <v>20</v>
      </c>
      <c r="J121" s="46">
        <f t="shared" si="1"/>
        <v>10</v>
      </c>
    </row>
    <row r="122" ht="18.75" customHeight="1" spans="1:10">
      <c r="A122" s="27" t="s">
        <v>701</v>
      </c>
      <c r="B122" s="31" t="s">
        <v>702</v>
      </c>
      <c r="C122" s="25"/>
      <c r="D122" s="25"/>
      <c r="E122" s="26"/>
      <c r="F122" s="26"/>
      <c r="G122" s="26"/>
      <c r="H122" s="26"/>
      <c r="I122" s="45">
        <v>20</v>
      </c>
      <c r="J122" s="46">
        <f t="shared" si="1"/>
        <v>0</v>
      </c>
    </row>
    <row r="123" ht="18.75" customHeight="1" spans="1:10">
      <c r="A123" s="27" t="s">
        <v>703</v>
      </c>
      <c r="B123" s="31" t="s">
        <v>704</v>
      </c>
      <c r="C123" s="25"/>
      <c r="D123" s="25"/>
      <c r="E123" s="26"/>
      <c r="F123" s="26"/>
      <c r="G123" s="26"/>
      <c r="H123" s="26"/>
      <c r="I123" s="45">
        <v>20</v>
      </c>
      <c r="J123" s="46">
        <f t="shared" si="1"/>
        <v>0</v>
      </c>
    </row>
    <row r="124" ht="18.75" customHeight="1" spans="1:10">
      <c r="A124" s="27" t="s">
        <v>705</v>
      </c>
      <c r="B124" s="31" t="s">
        <v>706</v>
      </c>
      <c r="C124" s="25"/>
      <c r="D124" s="25"/>
      <c r="E124" s="26">
        <v>10</v>
      </c>
      <c r="F124" s="26"/>
      <c r="G124" s="26"/>
      <c r="H124" s="26"/>
      <c r="I124" s="45">
        <v>20</v>
      </c>
      <c r="J124" s="46">
        <f t="shared" si="1"/>
        <v>10</v>
      </c>
    </row>
    <row r="125" ht="18.75" customHeight="1" spans="1:10">
      <c r="A125" s="27" t="s">
        <v>707</v>
      </c>
      <c r="B125" s="31" t="s">
        <v>708</v>
      </c>
      <c r="C125" s="25"/>
      <c r="D125" s="25">
        <v>10</v>
      </c>
      <c r="E125" s="26">
        <v>10</v>
      </c>
      <c r="F125" s="26">
        <v>10</v>
      </c>
      <c r="G125" s="26"/>
      <c r="H125" s="26">
        <v>10</v>
      </c>
      <c r="I125" s="45">
        <v>20</v>
      </c>
      <c r="J125" s="46">
        <f t="shared" si="1"/>
        <v>40</v>
      </c>
    </row>
    <row r="126" ht="18.75" customHeight="1" spans="1:10">
      <c r="A126" s="27" t="s">
        <v>709</v>
      </c>
      <c r="B126" s="31" t="s">
        <v>710</v>
      </c>
      <c r="C126" s="25"/>
      <c r="D126" s="25"/>
      <c r="E126" s="26">
        <v>30</v>
      </c>
      <c r="F126" s="26"/>
      <c r="G126" s="26">
        <v>6</v>
      </c>
      <c r="H126" s="26">
        <v>6</v>
      </c>
      <c r="I126" s="45">
        <v>20</v>
      </c>
      <c r="J126" s="46">
        <f t="shared" si="1"/>
        <v>42</v>
      </c>
    </row>
    <row r="127" ht="18.75" customHeight="1" spans="1:10">
      <c r="A127" s="27" t="s">
        <v>711</v>
      </c>
      <c r="B127" s="31" t="s">
        <v>712</v>
      </c>
      <c r="C127" s="26"/>
      <c r="D127" s="25"/>
      <c r="E127" s="25"/>
      <c r="F127" s="25"/>
      <c r="G127" s="25"/>
      <c r="H127" s="25"/>
      <c r="I127" s="45">
        <v>20</v>
      </c>
      <c r="J127" s="46">
        <f t="shared" si="1"/>
        <v>0</v>
      </c>
    </row>
    <row r="128" ht="18.75" customHeight="1" spans="1:10">
      <c r="A128" s="27" t="s">
        <v>713</v>
      </c>
      <c r="B128" s="31" t="s">
        <v>714</v>
      </c>
      <c r="C128" s="22"/>
      <c r="D128" s="22"/>
      <c r="E128" s="40"/>
      <c r="F128" s="40"/>
      <c r="G128" s="40"/>
      <c r="H128" s="30"/>
      <c r="I128" s="45">
        <v>20</v>
      </c>
      <c r="J128" s="46">
        <f t="shared" si="1"/>
        <v>0</v>
      </c>
    </row>
    <row r="129" ht="18.75" customHeight="1" spans="1:10">
      <c r="A129" s="27" t="s">
        <v>717</v>
      </c>
      <c r="B129" s="31" t="s">
        <v>718</v>
      </c>
      <c r="C129" s="29"/>
      <c r="D129" s="29"/>
      <c r="E129" s="30"/>
      <c r="F129" s="22"/>
      <c r="G129" s="22"/>
      <c r="H129" s="22"/>
      <c r="I129" s="45">
        <v>20</v>
      </c>
      <c r="J129" s="46">
        <f t="shared" si="1"/>
        <v>0</v>
      </c>
    </row>
    <row r="130" ht="18.75" customHeight="1" spans="1:10">
      <c r="A130" s="49" t="s">
        <v>719</v>
      </c>
      <c r="B130" s="50" t="s">
        <v>720</v>
      </c>
      <c r="C130" s="51">
        <v>10</v>
      </c>
      <c r="D130" s="51">
        <v>10</v>
      </c>
      <c r="E130" s="51">
        <v>10</v>
      </c>
      <c r="F130" s="51"/>
      <c r="G130" s="51"/>
      <c r="H130" s="51"/>
      <c r="I130" s="45">
        <v>20</v>
      </c>
      <c r="J130" s="46">
        <f t="shared" si="1"/>
        <v>30</v>
      </c>
    </row>
    <row r="131" ht="18.75" customHeight="1" spans="1:10">
      <c r="A131" s="23" t="s">
        <v>721</v>
      </c>
      <c r="B131" s="34" t="s">
        <v>722</v>
      </c>
      <c r="C131" s="25"/>
      <c r="D131" s="26">
        <v>20</v>
      </c>
      <c r="E131" s="26">
        <v>40</v>
      </c>
      <c r="F131" s="26">
        <v>70</v>
      </c>
      <c r="G131" s="26">
        <v>40</v>
      </c>
      <c r="H131" s="25"/>
      <c r="I131" s="45">
        <v>20</v>
      </c>
      <c r="J131" s="46">
        <f t="shared" ref="J131:J139" si="2">SUM(C131:H131)</f>
        <v>170</v>
      </c>
    </row>
    <row r="132" ht="18.75" customHeight="1" spans="1:10">
      <c r="A132" s="23" t="s">
        <v>723</v>
      </c>
      <c r="B132" s="34" t="s">
        <v>724</v>
      </c>
      <c r="C132" s="26"/>
      <c r="D132" s="25"/>
      <c r="E132" s="25"/>
      <c r="F132" s="25"/>
      <c r="G132" s="25"/>
      <c r="H132" s="25"/>
      <c r="I132" s="45">
        <v>20</v>
      </c>
      <c r="J132" s="46">
        <f t="shared" si="2"/>
        <v>0</v>
      </c>
    </row>
    <row r="133" ht="18.75" customHeight="1" spans="1:10">
      <c r="A133" s="49" t="s">
        <v>725</v>
      </c>
      <c r="B133" s="50" t="s">
        <v>726</v>
      </c>
      <c r="C133" s="51"/>
      <c r="D133" s="51"/>
      <c r="E133" s="51">
        <v>10</v>
      </c>
      <c r="F133" s="51">
        <v>19</v>
      </c>
      <c r="G133" s="51"/>
      <c r="H133" s="51"/>
      <c r="I133" s="45">
        <v>20</v>
      </c>
      <c r="J133" s="46">
        <f t="shared" si="2"/>
        <v>29</v>
      </c>
    </row>
    <row r="134" ht="18.75" customHeight="1" spans="1:10">
      <c r="A134" s="23" t="s">
        <v>727</v>
      </c>
      <c r="B134" s="34" t="s">
        <v>728</v>
      </c>
      <c r="C134" s="25"/>
      <c r="D134" s="25"/>
      <c r="E134" s="26"/>
      <c r="F134" s="26"/>
      <c r="G134" s="26"/>
      <c r="H134" s="26"/>
      <c r="I134" s="45">
        <v>20</v>
      </c>
      <c r="J134" s="46">
        <f t="shared" si="2"/>
        <v>0</v>
      </c>
    </row>
    <row r="135" ht="18.75" customHeight="1" spans="1:10">
      <c r="A135" s="23" t="s">
        <v>729</v>
      </c>
      <c r="B135" s="34" t="s">
        <v>730</v>
      </c>
      <c r="C135" s="26"/>
      <c r="D135" s="25"/>
      <c r="E135" s="25"/>
      <c r="F135" s="25"/>
      <c r="G135" s="25"/>
      <c r="H135" s="25"/>
      <c r="I135" s="45">
        <v>20</v>
      </c>
      <c r="J135" s="46">
        <f t="shared" si="2"/>
        <v>0</v>
      </c>
    </row>
    <row r="136" ht="18.75" customHeight="1" spans="1:10">
      <c r="A136" s="23" t="s">
        <v>731</v>
      </c>
      <c r="B136" s="31" t="s">
        <v>732</v>
      </c>
      <c r="C136" s="33"/>
      <c r="D136" s="36"/>
      <c r="E136" s="36"/>
      <c r="F136" s="36"/>
      <c r="G136" s="36"/>
      <c r="H136" s="36"/>
      <c r="I136" s="45">
        <v>20</v>
      </c>
      <c r="J136" s="46">
        <f t="shared" si="2"/>
        <v>0</v>
      </c>
    </row>
    <row r="137" ht="18.75" customHeight="1" spans="1:10">
      <c r="A137" s="23" t="s">
        <v>733</v>
      </c>
      <c r="B137" s="31" t="s">
        <v>734</v>
      </c>
      <c r="C137" s="33"/>
      <c r="D137" s="36"/>
      <c r="E137" s="36"/>
      <c r="F137" s="36"/>
      <c r="G137" s="36"/>
      <c r="H137" s="36"/>
      <c r="I137" s="45">
        <v>20</v>
      </c>
      <c r="J137" s="46">
        <f t="shared" si="2"/>
        <v>0</v>
      </c>
    </row>
    <row r="138" ht="18.75" customHeight="1" spans="1:10">
      <c r="A138" s="23" t="s">
        <v>735</v>
      </c>
      <c r="B138" s="31" t="s">
        <v>736</v>
      </c>
      <c r="C138" s="33"/>
      <c r="D138" s="36"/>
      <c r="E138" s="36"/>
      <c r="F138" s="36"/>
      <c r="G138" s="36"/>
      <c r="H138" s="36"/>
      <c r="I138" s="45">
        <v>20</v>
      </c>
      <c r="J138" s="46">
        <f t="shared" si="2"/>
        <v>0</v>
      </c>
    </row>
    <row r="139" ht="18.75" customHeight="1" spans="1:10">
      <c r="A139" s="53"/>
      <c r="B139" s="54" t="s">
        <v>774</v>
      </c>
      <c r="C139" s="55">
        <v>40</v>
      </c>
      <c r="D139" s="56"/>
      <c r="E139" s="56"/>
      <c r="F139" s="56"/>
      <c r="G139" s="56"/>
      <c r="H139" s="56"/>
      <c r="I139" s="45">
        <v>20</v>
      </c>
      <c r="J139" s="46">
        <f t="shared" si="2"/>
        <v>40</v>
      </c>
    </row>
  </sheetData>
  <mergeCells count="2">
    <mergeCell ref="A1:G1"/>
    <mergeCell ref="I1:J1"/>
  </mergeCells>
  <conditionalFormatting sqref="J3:J139">
    <cfRule type="expression" dxfId="0" priority="1">
      <formula>J3&lt;20</formula>
    </cfRule>
  </conditionalFormatting>
  <pageMargins left="0.196527777777778" right="0.196527777777778" top="0.161111111111111" bottom="0.196527777777778" header="0.298611111111111" footer="0.298611111111111"/>
  <pageSetup paperSize="9" orientation="portrait" horizontalDpi="6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H51"/>
  <sheetViews>
    <sheetView workbookViewId="0">
      <selection activeCell="J39" sqref="J39"/>
    </sheetView>
  </sheetViews>
  <sheetFormatPr defaultColWidth="9" defaultRowHeight="15" outlineLevelCol="7"/>
  <cols>
    <col min="1" max="1" width="13.7238095238095" style="1" customWidth="1"/>
    <col min="2" max="2" width="43.7238095238095" style="1" customWidth="1"/>
    <col min="3" max="3" width="6.00952380952381" style="1" customWidth="1"/>
    <col min="4" max="4" width="7.58095238095238" style="1" customWidth="1"/>
    <col min="5" max="5" width="7.00952380952381" style="2" customWidth="1"/>
    <col min="6" max="7" width="6.00952380952381" style="1" customWidth="1"/>
    <col min="8" max="8" width="8.00952380952381" style="1" customWidth="1"/>
  </cols>
  <sheetData>
    <row r="1" ht="24" customHeight="1" spans="1:8">
      <c r="A1" s="3" t="s">
        <v>775</v>
      </c>
      <c r="B1" s="4"/>
      <c r="C1" s="5" t="s">
        <v>776</v>
      </c>
      <c r="D1" s="5"/>
      <c r="E1" s="6"/>
      <c r="F1" s="4" t="s">
        <v>777</v>
      </c>
      <c r="G1" s="4"/>
      <c r="H1" s="7"/>
    </row>
    <row r="2" ht="18.75" customHeight="1" spans="1:8">
      <c r="A2" s="8" t="s">
        <v>3</v>
      </c>
      <c r="B2" s="8" t="s">
        <v>778</v>
      </c>
      <c r="C2" s="8" t="s">
        <v>5</v>
      </c>
      <c r="D2" s="8" t="s">
        <v>6</v>
      </c>
      <c r="E2" s="9" t="s">
        <v>7</v>
      </c>
      <c r="F2" s="8" t="s">
        <v>8</v>
      </c>
      <c r="G2" s="8" t="s">
        <v>9</v>
      </c>
      <c r="H2" s="8" t="s">
        <v>10</v>
      </c>
    </row>
    <row r="3" ht="18.75" customHeight="1" spans="1:8">
      <c r="A3" s="10"/>
      <c r="B3" s="10"/>
      <c r="C3" s="10"/>
      <c r="D3" s="10"/>
      <c r="E3" s="11"/>
      <c r="F3" s="10"/>
      <c r="G3" s="10"/>
      <c r="H3" s="10"/>
    </row>
    <row r="4" ht="18.75" customHeight="1" spans="1:8">
      <c r="A4" s="10"/>
      <c r="B4" s="10"/>
      <c r="C4" s="10"/>
      <c r="D4" s="10"/>
      <c r="E4" s="11"/>
      <c r="F4" s="10"/>
      <c r="G4" s="10"/>
      <c r="H4" s="10"/>
    </row>
    <row r="5" ht="18.75" customHeight="1" spans="1:8">
      <c r="A5" s="10"/>
      <c r="B5" s="10"/>
      <c r="C5" s="10"/>
      <c r="D5" s="10"/>
      <c r="E5" s="11"/>
      <c r="F5" s="10"/>
      <c r="G5" s="10"/>
      <c r="H5" s="10"/>
    </row>
    <row r="6" ht="18.75" customHeight="1" spans="1:8">
      <c r="A6" s="10"/>
      <c r="B6" s="10"/>
      <c r="C6" s="10"/>
      <c r="D6" s="10"/>
      <c r="E6" s="11"/>
      <c r="F6" s="10"/>
      <c r="G6" s="10"/>
      <c r="H6" s="10"/>
    </row>
    <row r="7" ht="18.75" customHeight="1" spans="1:8">
      <c r="A7" s="10"/>
      <c r="B7" s="10"/>
      <c r="C7" s="10"/>
      <c r="D7" s="10"/>
      <c r="E7" s="11"/>
      <c r="F7" s="10"/>
      <c r="G7" s="10"/>
      <c r="H7" s="10"/>
    </row>
    <row r="8" ht="18.75" customHeight="1" spans="1:8">
      <c r="A8" s="10"/>
      <c r="B8" s="10"/>
      <c r="C8" s="10"/>
      <c r="D8" s="10"/>
      <c r="E8" s="11"/>
      <c r="F8" s="10"/>
      <c r="G8" s="10"/>
      <c r="H8" s="10"/>
    </row>
    <row r="9" ht="18.75" customHeight="1" spans="1:8">
      <c r="A9" s="10"/>
      <c r="B9" s="10"/>
      <c r="C9" s="10"/>
      <c r="D9" s="10"/>
      <c r="E9" s="11"/>
      <c r="F9" s="10"/>
      <c r="G9" s="10"/>
      <c r="H9" s="10"/>
    </row>
    <row r="10" ht="18.75" customHeight="1" spans="1:8">
      <c r="A10" s="10"/>
      <c r="B10" s="10"/>
      <c r="C10" s="10"/>
      <c r="D10" s="10"/>
      <c r="E10" s="11"/>
      <c r="F10" s="10"/>
      <c r="G10" s="10"/>
      <c r="H10" s="10"/>
    </row>
    <row r="11" ht="18.75" customHeight="1" spans="1:8">
      <c r="A11" s="10"/>
      <c r="B11" s="10"/>
      <c r="C11" s="10"/>
      <c r="D11" s="10"/>
      <c r="E11" s="11"/>
      <c r="F11" s="10"/>
      <c r="G11" s="10"/>
      <c r="H11" s="10"/>
    </row>
    <row r="12" ht="18.75" customHeight="1" spans="1:8">
      <c r="A12" s="10"/>
      <c r="B12" s="10"/>
      <c r="C12" s="10"/>
      <c r="D12" s="10"/>
      <c r="E12" s="11"/>
      <c r="F12" s="10"/>
      <c r="G12" s="10"/>
      <c r="H12" s="10"/>
    </row>
    <row r="13" ht="18.75" customHeight="1" spans="1:8">
      <c r="A13" s="10"/>
      <c r="B13" s="10"/>
      <c r="C13" s="10"/>
      <c r="D13" s="10"/>
      <c r="E13" s="11"/>
      <c r="F13" s="10"/>
      <c r="G13" s="10"/>
      <c r="H13" s="10"/>
    </row>
    <row r="14" ht="18.75" customHeight="1" spans="1:8">
      <c r="A14" s="10"/>
      <c r="B14" s="10"/>
      <c r="C14" s="10"/>
      <c r="D14" s="10"/>
      <c r="E14" s="11"/>
      <c r="F14" s="10"/>
      <c r="G14" s="10"/>
      <c r="H14" s="10"/>
    </row>
    <row r="15" ht="18.75" customHeight="1" spans="1:8">
      <c r="A15" s="10"/>
      <c r="B15" s="10"/>
      <c r="C15" s="10"/>
      <c r="D15" s="10"/>
      <c r="E15" s="11"/>
      <c r="F15" s="10"/>
      <c r="G15" s="10"/>
      <c r="H15" s="10"/>
    </row>
    <row r="16" ht="18.75" customHeight="1" spans="1:8">
      <c r="A16" s="10"/>
      <c r="B16" s="10"/>
      <c r="C16" s="10"/>
      <c r="D16" s="10"/>
      <c r="E16" s="11"/>
      <c r="F16" s="10"/>
      <c r="G16" s="10"/>
      <c r="H16" s="10"/>
    </row>
    <row r="17" ht="18.75" customHeight="1"/>
    <row r="18" ht="18.75" customHeight="1" spans="1:1">
      <c r="A18" s="12" t="s">
        <v>779</v>
      </c>
    </row>
    <row r="19" ht="18.75" customHeight="1"/>
    <row r="20" ht="18.75" customHeight="1" spans="1:1">
      <c r="A20" s="12" t="s">
        <v>780</v>
      </c>
    </row>
    <row r="21" ht="18.75" customHeight="1" spans="1:8">
      <c r="A21" s="13"/>
      <c r="B21" s="13"/>
      <c r="C21" s="13"/>
      <c r="D21" s="13"/>
      <c r="E21" s="14"/>
      <c r="F21" s="13"/>
      <c r="G21" s="13"/>
      <c r="H21" s="13"/>
    </row>
    <row r="22" ht="18.75" customHeight="1"/>
    <row r="23" ht="18.75" customHeight="1" spans="1:8">
      <c r="A23" s="3" t="s">
        <v>775</v>
      </c>
      <c r="B23" s="4"/>
      <c r="C23" s="5" t="s">
        <v>776</v>
      </c>
      <c r="D23" s="5"/>
      <c r="E23" s="6"/>
      <c r="F23" s="4" t="s">
        <v>777</v>
      </c>
      <c r="G23" s="4"/>
      <c r="H23" s="7"/>
    </row>
    <row r="24" ht="18.75" customHeight="1" spans="1:8">
      <c r="A24" s="8" t="s">
        <v>3</v>
      </c>
      <c r="B24" s="8" t="s">
        <v>778</v>
      </c>
      <c r="C24" s="8" t="s">
        <v>5</v>
      </c>
      <c r="D24" s="8" t="s">
        <v>6</v>
      </c>
      <c r="E24" s="9" t="s">
        <v>7</v>
      </c>
      <c r="F24" s="8" t="s">
        <v>8</v>
      </c>
      <c r="G24" s="8" t="s">
        <v>9</v>
      </c>
      <c r="H24" s="8" t="s">
        <v>10</v>
      </c>
    </row>
    <row r="25" ht="18.75" customHeight="1" spans="1:8">
      <c r="A25" s="10"/>
      <c r="B25" s="10"/>
      <c r="C25" s="10"/>
      <c r="D25" s="10"/>
      <c r="E25" s="11"/>
      <c r="F25" s="10"/>
      <c r="G25" s="10"/>
      <c r="H25" s="10"/>
    </row>
    <row r="26" ht="18.75" customHeight="1" spans="1:8">
      <c r="A26" s="10"/>
      <c r="B26" s="10"/>
      <c r="C26" s="10"/>
      <c r="D26" s="10"/>
      <c r="E26" s="11"/>
      <c r="F26" s="10"/>
      <c r="G26" s="10"/>
      <c r="H26" s="10"/>
    </row>
    <row r="27" ht="18.75" customHeight="1" spans="1:8">
      <c r="A27" s="10"/>
      <c r="B27" s="10"/>
      <c r="C27" s="10"/>
      <c r="D27" s="10"/>
      <c r="E27" s="11"/>
      <c r="F27" s="10"/>
      <c r="G27" s="10"/>
      <c r="H27" s="10"/>
    </row>
    <row r="28" ht="18.75" customHeight="1" spans="1:8">
      <c r="A28" s="10"/>
      <c r="B28" s="10"/>
      <c r="C28" s="10"/>
      <c r="D28" s="10"/>
      <c r="E28" s="11"/>
      <c r="F28" s="10"/>
      <c r="G28" s="10"/>
      <c r="H28" s="10"/>
    </row>
    <row r="29" ht="18.75" customHeight="1" spans="1:8">
      <c r="A29" s="10"/>
      <c r="B29" s="10"/>
      <c r="C29" s="10"/>
      <c r="D29" s="10"/>
      <c r="E29" s="11"/>
      <c r="F29" s="10"/>
      <c r="G29" s="10"/>
      <c r="H29" s="10"/>
    </row>
    <row r="30" ht="18.75" customHeight="1" spans="1:8">
      <c r="A30" s="10"/>
      <c r="B30" s="10"/>
      <c r="C30" s="10"/>
      <c r="D30" s="10"/>
      <c r="E30" s="11"/>
      <c r="F30" s="10"/>
      <c r="G30" s="10"/>
      <c r="H30" s="10"/>
    </row>
    <row r="31" ht="18.75" customHeight="1" spans="1:8">
      <c r="A31" s="10"/>
      <c r="B31" s="10"/>
      <c r="C31" s="10"/>
      <c r="D31" s="10"/>
      <c r="E31" s="11"/>
      <c r="F31" s="10"/>
      <c r="G31" s="10"/>
      <c r="H31" s="10"/>
    </row>
    <row r="32" ht="18.75" customHeight="1" spans="1:8">
      <c r="A32" s="10"/>
      <c r="B32" s="10"/>
      <c r="C32" s="10"/>
      <c r="D32" s="10"/>
      <c r="E32" s="11"/>
      <c r="F32" s="10"/>
      <c r="G32" s="10"/>
      <c r="H32" s="10"/>
    </row>
    <row r="33" ht="18.75" customHeight="1" spans="1:8">
      <c r="A33" s="10"/>
      <c r="B33" s="10"/>
      <c r="C33" s="10"/>
      <c r="D33" s="10"/>
      <c r="E33" s="11"/>
      <c r="F33" s="10"/>
      <c r="G33" s="10"/>
      <c r="H33" s="10"/>
    </row>
    <row r="34" ht="18.75" customHeight="1" spans="1:8">
      <c r="A34" s="10"/>
      <c r="B34" s="10"/>
      <c r="C34" s="10"/>
      <c r="D34" s="10"/>
      <c r="E34" s="11"/>
      <c r="F34" s="10"/>
      <c r="G34" s="10"/>
      <c r="H34" s="10"/>
    </row>
    <row r="35" ht="18.75" customHeight="1" spans="1:8">
      <c r="A35" s="10"/>
      <c r="B35" s="10"/>
      <c r="C35" s="10"/>
      <c r="D35" s="10"/>
      <c r="E35" s="11"/>
      <c r="F35" s="10"/>
      <c r="G35" s="10"/>
      <c r="H35" s="10"/>
    </row>
    <row r="36" ht="18.75" customHeight="1" spans="1:8">
      <c r="A36" s="10"/>
      <c r="B36" s="10"/>
      <c r="C36" s="10"/>
      <c r="D36" s="10"/>
      <c r="E36" s="11"/>
      <c r="F36" s="10"/>
      <c r="G36" s="10"/>
      <c r="H36" s="10"/>
    </row>
    <row r="37" ht="18.75" customHeight="1" spans="1:8">
      <c r="A37" s="10"/>
      <c r="B37" s="10"/>
      <c r="C37" s="10"/>
      <c r="D37" s="10"/>
      <c r="E37" s="11"/>
      <c r="F37" s="10"/>
      <c r="G37" s="10"/>
      <c r="H37" s="10"/>
    </row>
    <row r="38" ht="18.75" customHeight="1" spans="1:8">
      <c r="A38" s="10"/>
      <c r="B38" s="10"/>
      <c r="C38" s="10"/>
      <c r="D38" s="10"/>
      <c r="E38" s="11"/>
      <c r="F38" s="10"/>
      <c r="G38" s="10"/>
      <c r="H38" s="10"/>
    </row>
    <row r="39" ht="18.75" customHeight="1"/>
    <row r="40" ht="18.75" customHeight="1" spans="1:1">
      <c r="A40" s="12" t="s">
        <v>779</v>
      </c>
    </row>
    <row r="41" ht="18.75" customHeight="1"/>
    <row r="42" ht="18.75" customHeight="1" spans="1:1">
      <c r="A42" s="12" t="s">
        <v>780</v>
      </c>
    </row>
    <row r="43" ht="18.75" customHeight="1" spans="1:8">
      <c r="A43" s="13"/>
      <c r="B43" s="13"/>
      <c r="C43" s="13"/>
      <c r="D43" s="13"/>
      <c r="E43" s="14"/>
      <c r="F43" s="13"/>
      <c r="G43" s="13"/>
      <c r="H43" s="13"/>
    </row>
    <row r="44" ht="18.75" customHeight="1"/>
    <row r="45" ht="18.75" customHeight="1"/>
    <row r="46" ht="18.75" customHeight="1"/>
    <row r="47" ht="18.75" customHeight="1" spans="1:1">
      <c r="A47" s="12"/>
    </row>
    <row r="48" ht="18.75" customHeight="1"/>
    <row r="49" ht="18.75" customHeight="1" spans="1:1">
      <c r="A49" s="12"/>
    </row>
    <row r="50" ht="18.75" customHeight="1"/>
    <row r="51" ht="18.75" customHeight="1"/>
  </sheetData>
  <mergeCells count="4">
    <mergeCell ref="A1:B1"/>
    <mergeCell ref="C1:D1"/>
    <mergeCell ref="A23:B23"/>
    <mergeCell ref="C23:D23"/>
  </mergeCells>
  <pageMargins left="0.251388888888889" right="0.251388888888889" top="0.161111111111111" bottom="0.354166666666667" header="0.298611111111111" footer="0.298611111111111"/>
  <pageSetup paperSize="9" orientation="portrait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wijmo.xlsx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ACABADO</vt:lpstr>
      <vt:lpstr>CORTE</vt:lpstr>
      <vt:lpstr>TICKET_RETIRADAS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2025-07-01T01:46:00Z</dcterms:created>
  <dcterms:modified xsi:type="dcterms:W3CDTF">2025-07-03T14:31:27Z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5C84D07A981548B485B2C3F647AAFA23_12</vt:lpwstr>
  </property>
  <property fmtid="{D5CDD505-2E9C-101B-9397-08002B2CF9AE}" pid="3" name="KSOProductBuildVer">
    <vt:lpwstr>1046-12.2.0.21546</vt:lpwstr>
  </property>
</Properties>
</file>